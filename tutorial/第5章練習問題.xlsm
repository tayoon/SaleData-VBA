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富士太郎\Desktop\Excel2016マクロVBA\"/>
    </mc:Choice>
  </mc:AlternateContent>
  <bookViews>
    <workbookView xWindow="0" yWindow="0" windowWidth="15360" windowHeight="7530"/>
  </bookViews>
  <sheets>
    <sheet name="アンケート" sheetId="1" r:id="rId1"/>
    <sheet name="お客様リスト" sheetId="2" r:id="rId2"/>
  </sheets>
  <definedNames>
    <definedName name="_xlnm._FilterDatabase" localSheetId="0" hidden="1">アンケート!$B$4:$G$106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2" l="1"/>
  <c r="H6" i="2"/>
  <c r="G7" i="2"/>
  <c r="H7" i="2"/>
  <c r="G8" i="2"/>
  <c r="H8" i="2"/>
  <c r="G9" i="2"/>
  <c r="H9" i="2"/>
  <c r="G10" i="2"/>
  <c r="H10" i="2"/>
  <c r="G11" i="2"/>
  <c r="H11" i="2"/>
  <c r="G12" i="2"/>
  <c r="H12" i="2"/>
  <c r="G13" i="2"/>
  <c r="H13" i="2"/>
  <c r="G14" i="2"/>
  <c r="H14" i="2"/>
  <c r="G15" i="2"/>
  <c r="H15" i="2"/>
  <c r="G16" i="2"/>
  <c r="H16" i="2"/>
  <c r="G17" i="2"/>
  <c r="H17" i="2"/>
  <c r="G18" i="2"/>
  <c r="H18" i="2"/>
  <c r="G19" i="2"/>
  <c r="H19" i="2"/>
  <c r="G20" i="2"/>
  <c r="H20" i="2"/>
  <c r="G21" i="2"/>
  <c r="H21" i="2"/>
  <c r="G22" i="2"/>
  <c r="H22" i="2"/>
  <c r="G23" i="2"/>
  <c r="H23" i="2"/>
  <c r="G24" i="2"/>
  <c r="H24" i="2"/>
  <c r="G25" i="2"/>
  <c r="H25" i="2"/>
  <c r="H5" i="2"/>
  <c r="G5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</calcChain>
</file>

<file path=xl/sharedStrings.xml><?xml version="1.0" encoding="utf-8"?>
<sst xmlns="http://schemas.openxmlformats.org/spreadsheetml/2006/main" count="687" uniqueCount="177">
  <si>
    <t>「Pure Blueberry」 モニターアンケート</t>
    <phoneticPr fontId="2"/>
  </si>
  <si>
    <t>回答者</t>
    <rPh sb="0" eb="2">
      <t>カイトウ</t>
    </rPh>
    <rPh sb="2" eb="3">
      <t>シャ</t>
    </rPh>
    <phoneticPr fontId="2"/>
  </si>
  <si>
    <t>性別</t>
    <rPh sb="0" eb="2">
      <t>セイベツ</t>
    </rPh>
    <phoneticPr fontId="2"/>
  </si>
  <si>
    <t>職業</t>
    <rPh sb="0" eb="2">
      <t>ショクギョウ</t>
    </rPh>
    <phoneticPr fontId="2"/>
  </si>
  <si>
    <t>価格</t>
    <rPh sb="0" eb="2">
      <t>カカク</t>
    </rPh>
    <phoneticPr fontId="2"/>
  </si>
  <si>
    <t>飲みやすさ</t>
    <rPh sb="0" eb="1">
      <t>ノ</t>
    </rPh>
    <phoneticPr fontId="2"/>
  </si>
  <si>
    <t>購入予定</t>
    <rPh sb="0" eb="2">
      <t>コウニュウ</t>
    </rPh>
    <rPh sb="2" eb="4">
      <t>ヨテイ</t>
    </rPh>
    <phoneticPr fontId="2"/>
  </si>
  <si>
    <t>S0010</t>
    <phoneticPr fontId="2"/>
  </si>
  <si>
    <t>女</t>
    <rPh sb="0" eb="1">
      <t>オンナ</t>
    </rPh>
    <phoneticPr fontId="2"/>
  </si>
  <si>
    <t>主婦</t>
    <rPh sb="0" eb="2">
      <t>シュフ</t>
    </rPh>
    <phoneticPr fontId="2"/>
  </si>
  <si>
    <t>高い</t>
    <rPh sb="0" eb="1">
      <t>タカ</t>
    </rPh>
    <phoneticPr fontId="2"/>
  </si>
  <si>
    <t>甘い</t>
    <rPh sb="0" eb="1">
      <t>アマ</t>
    </rPh>
    <phoneticPr fontId="2"/>
  </si>
  <si>
    <t>ある</t>
    <phoneticPr fontId="2"/>
  </si>
  <si>
    <t>S0011</t>
    <phoneticPr fontId="2"/>
  </si>
  <si>
    <t>男</t>
    <rPh sb="0" eb="1">
      <t>オトコ</t>
    </rPh>
    <phoneticPr fontId="2"/>
  </si>
  <si>
    <t>社会人</t>
    <rPh sb="0" eb="2">
      <t>シャカイ</t>
    </rPh>
    <rPh sb="2" eb="3">
      <t>ジン</t>
    </rPh>
    <phoneticPr fontId="2"/>
  </si>
  <si>
    <t>適当</t>
    <rPh sb="0" eb="2">
      <t>テキトウ</t>
    </rPh>
    <phoneticPr fontId="2"/>
  </si>
  <si>
    <t>ない</t>
    <phoneticPr fontId="2"/>
  </si>
  <si>
    <t>S0012</t>
    <phoneticPr fontId="2"/>
  </si>
  <si>
    <t>飲みやすい</t>
    <rPh sb="0" eb="1">
      <t>ノ</t>
    </rPh>
    <phoneticPr fontId="2"/>
  </si>
  <si>
    <t>わからない</t>
    <phoneticPr fontId="2"/>
  </si>
  <si>
    <t>S0013</t>
    <phoneticPr fontId="2"/>
  </si>
  <si>
    <t>その他</t>
    <rPh sb="2" eb="3">
      <t>タ</t>
    </rPh>
    <phoneticPr fontId="2"/>
  </si>
  <si>
    <t>ある</t>
    <phoneticPr fontId="2"/>
  </si>
  <si>
    <t>S0014</t>
    <phoneticPr fontId="2"/>
  </si>
  <si>
    <t>学生</t>
    <rPh sb="0" eb="2">
      <t>ガクセイ</t>
    </rPh>
    <phoneticPr fontId="2"/>
  </si>
  <si>
    <t>S0015</t>
    <phoneticPr fontId="2"/>
  </si>
  <si>
    <t>S0016</t>
    <phoneticPr fontId="2"/>
  </si>
  <si>
    <t>安い</t>
    <rPh sb="0" eb="1">
      <t>ヤス</t>
    </rPh>
    <phoneticPr fontId="2"/>
  </si>
  <si>
    <t>S0017</t>
    <phoneticPr fontId="2"/>
  </si>
  <si>
    <t>S0018</t>
    <phoneticPr fontId="2"/>
  </si>
  <si>
    <t>ある</t>
    <phoneticPr fontId="2"/>
  </si>
  <si>
    <t>S0019</t>
    <phoneticPr fontId="2"/>
  </si>
  <si>
    <t>S0020</t>
    <phoneticPr fontId="2"/>
  </si>
  <si>
    <t>S0021</t>
    <phoneticPr fontId="2"/>
  </si>
  <si>
    <t>ない</t>
    <phoneticPr fontId="2"/>
  </si>
  <si>
    <t>S0022</t>
    <phoneticPr fontId="2"/>
  </si>
  <si>
    <t>S0023</t>
    <phoneticPr fontId="2"/>
  </si>
  <si>
    <t>S0024</t>
    <phoneticPr fontId="2"/>
  </si>
  <si>
    <t>S0025</t>
    <phoneticPr fontId="2"/>
  </si>
  <si>
    <t>S0026</t>
    <phoneticPr fontId="2"/>
  </si>
  <si>
    <t>S0027</t>
    <phoneticPr fontId="2"/>
  </si>
  <si>
    <t>S0030</t>
    <phoneticPr fontId="2"/>
  </si>
  <si>
    <t>S0031</t>
    <phoneticPr fontId="2"/>
  </si>
  <si>
    <t>S0032</t>
    <phoneticPr fontId="2"/>
  </si>
  <si>
    <t>ない</t>
    <phoneticPr fontId="2"/>
  </si>
  <si>
    <t>S0033</t>
    <phoneticPr fontId="2"/>
  </si>
  <si>
    <t>S0034</t>
    <phoneticPr fontId="2"/>
  </si>
  <si>
    <t>S0035</t>
    <phoneticPr fontId="2"/>
  </si>
  <si>
    <t>S0036</t>
    <phoneticPr fontId="2"/>
  </si>
  <si>
    <t>S0037</t>
    <phoneticPr fontId="2"/>
  </si>
  <si>
    <t>S0038</t>
    <phoneticPr fontId="2"/>
  </si>
  <si>
    <t>S0710</t>
    <phoneticPr fontId="2"/>
  </si>
  <si>
    <t>S0711</t>
    <phoneticPr fontId="2"/>
  </si>
  <si>
    <t>S0712</t>
    <phoneticPr fontId="2"/>
  </si>
  <si>
    <t>S0713</t>
    <phoneticPr fontId="2"/>
  </si>
  <si>
    <t>S0714</t>
    <phoneticPr fontId="2"/>
  </si>
  <si>
    <t>S0715</t>
    <phoneticPr fontId="2"/>
  </si>
  <si>
    <t>S0716</t>
    <phoneticPr fontId="2"/>
  </si>
  <si>
    <t>S0717</t>
    <phoneticPr fontId="2"/>
  </si>
  <si>
    <t>S0718</t>
    <phoneticPr fontId="2"/>
  </si>
  <si>
    <t>S0719</t>
    <phoneticPr fontId="2"/>
  </si>
  <si>
    <t>S0720</t>
    <phoneticPr fontId="2"/>
  </si>
  <si>
    <t>S0880</t>
    <phoneticPr fontId="2"/>
  </si>
  <si>
    <t>S0881</t>
    <phoneticPr fontId="2"/>
  </si>
  <si>
    <t>S0882</t>
    <phoneticPr fontId="2"/>
  </si>
  <si>
    <t>S0883</t>
    <phoneticPr fontId="2"/>
  </si>
  <si>
    <t>S0884</t>
    <phoneticPr fontId="2"/>
  </si>
  <si>
    <t>S0885</t>
    <phoneticPr fontId="2"/>
  </si>
  <si>
    <t>S0886</t>
    <phoneticPr fontId="2"/>
  </si>
  <si>
    <t>S0887</t>
    <phoneticPr fontId="2"/>
  </si>
  <si>
    <t>わからない</t>
    <phoneticPr fontId="2"/>
  </si>
  <si>
    <t>S0888</t>
    <phoneticPr fontId="2"/>
  </si>
  <si>
    <t>S1020</t>
    <phoneticPr fontId="2"/>
  </si>
  <si>
    <t>S1021</t>
    <phoneticPr fontId="2"/>
  </si>
  <si>
    <t>S1022</t>
    <phoneticPr fontId="2"/>
  </si>
  <si>
    <t>S1023</t>
    <phoneticPr fontId="2"/>
  </si>
  <si>
    <t>S1024</t>
    <phoneticPr fontId="2"/>
  </si>
  <si>
    <t>S1025</t>
    <phoneticPr fontId="2"/>
  </si>
  <si>
    <t>S1026</t>
    <phoneticPr fontId="2"/>
  </si>
  <si>
    <t>S1027</t>
    <phoneticPr fontId="2"/>
  </si>
  <si>
    <t>S1028</t>
    <phoneticPr fontId="2"/>
  </si>
  <si>
    <t>S1029</t>
    <phoneticPr fontId="2"/>
  </si>
  <si>
    <t>S1030</t>
    <phoneticPr fontId="2"/>
  </si>
  <si>
    <t>S1031</t>
    <phoneticPr fontId="2"/>
  </si>
  <si>
    <t>S1032</t>
    <phoneticPr fontId="2"/>
  </si>
  <si>
    <t>S1033</t>
    <phoneticPr fontId="2"/>
  </si>
  <si>
    <t>S1034</t>
    <phoneticPr fontId="2"/>
  </si>
  <si>
    <t>S1035</t>
    <phoneticPr fontId="2"/>
  </si>
  <si>
    <t>S1036</t>
    <phoneticPr fontId="2"/>
  </si>
  <si>
    <t>S1037</t>
    <phoneticPr fontId="2"/>
  </si>
  <si>
    <t>S1038</t>
    <phoneticPr fontId="2"/>
  </si>
  <si>
    <t>S1080</t>
    <phoneticPr fontId="2"/>
  </si>
  <si>
    <t>S1081</t>
    <phoneticPr fontId="2"/>
  </si>
  <si>
    <t>S1082</t>
    <phoneticPr fontId="2"/>
  </si>
  <si>
    <t>S1083</t>
    <phoneticPr fontId="2"/>
  </si>
  <si>
    <t>S1084</t>
    <phoneticPr fontId="2"/>
  </si>
  <si>
    <t>S1085</t>
    <phoneticPr fontId="2"/>
  </si>
  <si>
    <t>S1086</t>
    <phoneticPr fontId="2"/>
  </si>
  <si>
    <t>S1087</t>
    <phoneticPr fontId="2"/>
  </si>
  <si>
    <t>S1088</t>
    <phoneticPr fontId="2"/>
  </si>
  <si>
    <t>S1089</t>
    <phoneticPr fontId="2"/>
  </si>
  <si>
    <t>S4030</t>
    <phoneticPr fontId="2"/>
  </si>
  <si>
    <t>S4031</t>
    <phoneticPr fontId="2"/>
  </si>
  <si>
    <t>S4032</t>
    <phoneticPr fontId="2"/>
  </si>
  <si>
    <t>S4033</t>
    <phoneticPr fontId="2"/>
  </si>
  <si>
    <t>S4034</t>
    <phoneticPr fontId="2"/>
  </si>
  <si>
    <t>S4035</t>
    <phoneticPr fontId="2"/>
  </si>
  <si>
    <t>S4036</t>
    <phoneticPr fontId="2"/>
  </si>
  <si>
    <t>S4037</t>
    <phoneticPr fontId="2"/>
  </si>
  <si>
    <t>S4038</t>
    <phoneticPr fontId="2"/>
  </si>
  <si>
    <t>S4039</t>
    <phoneticPr fontId="2"/>
  </si>
  <si>
    <t>S6030</t>
    <phoneticPr fontId="2"/>
  </si>
  <si>
    <t>S6031</t>
    <phoneticPr fontId="2"/>
  </si>
  <si>
    <t>S6032</t>
    <phoneticPr fontId="2"/>
  </si>
  <si>
    <t>S6033</t>
    <phoneticPr fontId="2"/>
  </si>
  <si>
    <t>S6034</t>
    <phoneticPr fontId="2"/>
  </si>
  <si>
    <t>S6035</t>
    <phoneticPr fontId="2"/>
  </si>
  <si>
    <t>S6036</t>
    <phoneticPr fontId="2"/>
  </si>
  <si>
    <t>S6037</t>
    <phoneticPr fontId="2"/>
  </si>
  <si>
    <t>S6038</t>
    <phoneticPr fontId="2"/>
  </si>
  <si>
    <t>S9020</t>
    <phoneticPr fontId="2"/>
  </si>
  <si>
    <t>S9021</t>
    <phoneticPr fontId="2"/>
  </si>
  <si>
    <t>S9022</t>
    <phoneticPr fontId="2"/>
  </si>
  <si>
    <t>S9023</t>
    <phoneticPr fontId="2"/>
  </si>
  <si>
    <t>S9024</t>
    <phoneticPr fontId="2"/>
  </si>
  <si>
    <t>S9025</t>
    <phoneticPr fontId="2"/>
  </si>
  <si>
    <t>S9026</t>
    <phoneticPr fontId="2"/>
  </si>
  <si>
    <t>グルメ宅配サービスお客様リスト</t>
    <rPh sb="3" eb="5">
      <t>タクハイ</t>
    </rPh>
    <rPh sb="10" eb="12">
      <t>キャクサマ</t>
    </rPh>
    <phoneticPr fontId="2"/>
  </si>
  <si>
    <t>会員
No.</t>
    <rPh sb="0" eb="2">
      <t>カイイン</t>
    </rPh>
    <phoneticPr fontId="2"/>
  </si>
  <si>
    <t>氏名</t>
    <rPh sb="0" eb="2">
      <t>シメイ</t>
    </rPh>
    <phoneticPr fontId="2"/>
  </si>
  <si>
    <t>入会日</t>
    <rPh sb="0" eb="2">
      <t>ニュウカイ</t>
    </rPh>
    <rPh sb="2" eb="3">
      <t>ヒ</t>
    </rPh>
    <phoneticPr fontId="2"/>
  </si>
  <si>
    <t>継続
月数</t>
    <rPh sb="0" eb="2">
      <t>ケイゾク</t>
    </rPh>
    <rPh sb="3" eb="4">
      <t>ガツ</t>
    </rPh>
    <rPh sb="4" eb="5">
      <t>スウ</t>
    </rPh>
    <phoneticPr fontId="2"/>
  </si>
  <si>
    <t>コード</t>
    <phoneticPr fontId="2"/>
  </si>
  <si>
    <t>コース名</t>
    <rPh sb="3" eb="4">
      <t>メイ</t>
    </rPh>
    <phoneticPr fontId="2"/>
  </si>
  <si>
    <t>通常
料金</t>
    <rPh sb="0" eb="2">
      <t>ツウジョウ</t>
    </rPh>
    <rPh sb="3" eb="5">
      <t>リョウキン</t>
    </rPh>
    <phoneticPr fontId="2"/>
  </si>
  <si>
    <t>割引後
料金</t>
    <rPh sb="0" eb="2">
      <t>ワリビキ</t>
    </rPh>
    <rPh sb="2" eb="3">
      <t>ゴ</t>
    </rPh>
    <rPh sb="4" eb="6">
      <t>リョウキン</t>
    </rPh>
    <phoneticPr fontId="2"/>
  </si>
  <si>
    <t>コード</t>
    <phoneticPr fontId="2"/>
  </si>
  <si>
    <t>花岡　桐子</t>
    <rPh sb="0" eb="2">
      <t>ハナオカ</t>
    </rPh>
    <rPh sb="3" eb="5">
      <t>キリコ</t>
    </rPh>
    <phoneticPr fontId="2"/>
  </si>
  <si>
    <t>A03</t>
    <phoneticPr fontId="2"/>
  </si>
  <si>
    <t>A01</t>
    <phoneticPr fontId="2"/>
  </si>
  <si>
    <t>全国名店の味</t>
    <rPh sb="0" eb="2">
      <t>ゼンコク</t>
    </rPh>
    <rPh sb="2" eb="4">
      <t>メイテン</t>
    </rPh>
    <rPh sb="5" eb="6">
      <t>アジ</t>
    </rPh>
    <phoneticPr fontId="2"/>
  </si>
  <si>
    <t>北島　薫</t>
    <rPh sb="0" eb="2">
      <t>キタジマ</t>
    </rPh>
    <rPh sb="3" eb="4">
      <t>カオル</t>
    </rPh>
    <phoneticPr fontId="2"/>
  </si>
  <si>
    <t>A04</t>
    <phoneticPr fontId="2"/>
  </si>
  <si>
    <t>A02</t>
    <phoneticPr fontId="2"/>
  </si>
  <si>
    <t>ご当地ラーメン</t>
    <rPh sb="1" eb="3">
      <t>トウチ</t>
    </rPh>
    <phoneticPr fontId="2"/>
  </si>
  <si>
    <t>田辺　里佳</t>
    <rPh sb="0" eb="2">
      <t>タナベ</t>
    </rPh>
    <rPh sb="3" eb="4">
      <t>サト</t>
    </rPh>
    <rPh sb="4" eb="5">
      <t>カ</t>
    </rPh>
    <phoneticPr fontId="2"/>
  </si>
  <si>
    <t>海の幸詰め合わせ</t>
    <rPh sb="0" eb="1">
      <t>ウミ</t>
    </rPh>
    <rPh sb="2" eb="3">
      <t>サチ</t>
    </rPh>
    <rPh sb="3" eb="4">
      <t>ツ</t>
    </rPh>
    <rPh sb="5" eb="6">
      <t>ア</t>
    </rPh>
    <phoneticPr fontId="2"/>
  </si>
  <si>
    <t>藤島　純</t>
    <rPh sb="0" eb="2">
      <t>フジシマ</t>
    </rPh>
    <rPh sb="3" eb="4">
      <t>ジュン</t>
    </rPh>
    <phoneticPr fontId="2"/>
  </si>
  <si>
    <t>B01</t>
    <phoneticPr fontId="2"/>
  </si>
  <si>
    <t>A04</t>
    <phoneticPr fontId="2"/>
  </si>
  <si>
    <t>旬の京野菜</t>
    <rPh sb="0" eb="1">
      <t>シュン</t>
    </rPh>
    <rPh sb="2" eb="5">
      <t>キョウヤサイ</t>
    </rPh>
    <phoneticPr fontId="2"/>
  </si>
  <si>
    <t>森嶋　晴美</t>
    <rPh sb="0" eb="2">
      <t>モリシマ</t>
    </rPh>
    <rPh sb="3" eb="5">
      <t>ハルミ</t>
    </rPh>
    <phoneticPr fontId="2"/>
  </si>
  <si>
    <t>B02</t>
    <phoneticPr fontId="2"/>
  </si>
  <si>
    <t>スイーツコレクション</t>
    <phoneticPr fontId="2"/>
  </si>
  <si>
    <t>盛岡　勇気</t>
    <rPh sb="0" eb="2">
      <t>モリオカ</t>
    </rPh>
    <rPh sb="3" eb="5">
      <t>ユウキ</t>
    </rPh>
    <phoneticPr fontId="2"/>
  </si>
  <si>
    <t>A02</t>
    <phoneticPr fontId="2"/>
  </si>
  <si>
    <t>和のスイーツ</t>
    <rPh sb="0" eb="1">
      <t>ワ</t>
    </rPh>
    <phoneticPr fontId="2"/>
  </si>
  <si>
    <t>小野　祥子</t>
    <rPh sb="0" eb="2">
      <t>オノ</t>
    </rPh>
    <rPh sb="3" eb="5">
      <t>ショウコ</t>
    </rPh>
    <phoneticPr fontId="2"/>
  </si>
  <si>
    <t>B03</t>
    <phoneticPr fontId="2"/>
  </si>
  <si>
    <t>フレッシュフルーツ</t>
    <phoneticPr fontId="2"/>
  </si>
  <si>
    <t>塩見　博美</t>
    <rPh sb="0" eb="2">
      <t>シオミ</t>
    </rPh>
    <rPh sb="3" eb="5">
      <t>ヒロミ</t>
    </rPh>
    <phoneticPr fontId="2"/>
  </si>
  <si>
    <t>A04</t>
    <phoneticPr fontId="2"/>
  </si>
  <si>
    <t>小島　理恵</t>
    <rPh sb="0" eb="2">
      <t>コジマ</t>
    </rPh>
    <rPh sb="3" eb="5">
      <t>リエ</t>
    </rPh>
    <phoneticPr fontId="2"/>
  </si>
  <si>
    <t>辻　花帆</t>
    <rPh sb="0" eb="1">
      <t>ツジ</t>
    </rPh>
    <rPh sb="2" eb="4">
      <t>カホ</t>
    </rPh>
    <phoneticPr fontId="2"/>
  </si>
  <si>
    <t>安達　直子</t>
    <rPh sb="0" eb="2">
      <t>アダチ</t>
    </rPh>
    <rPh sb="3" eb="5">
      <t>ナオコ</t>
    </rPh>
    <phoneticPr fontId="2"/>
  </si>
  <si>
    <t>今村　百合</t>
    <rPh sb="0" eb="2">
      <t>イマムラ</t>
    </rPh>
    <rPh sb="3" eb="5">
      <t>ユリ</t>
    </rPh>
    <phoneticPr fontId="2"/>
  </si>
  <si>
    <t>浅田　美優</t>
    <rPh sb="0" eb="2">
      <t>アサダ</t>
    </rPh>
    <rPh sb="3" eb="5">
      <t>ミュウ</t>
    </rPh>
    <phoneticPr fontId="2"/>
  </si>
  <si>
    <t>東　祐子</t>
    <rPh sb="0" eb="1">
      <t>ヒガシ</t>
    </rPh>
    <rPh sb="2" eb="4">
      <t>ユウコ</t>
    </rPh>
    <phoneticPr fontId="2"/>
  </si>
  <si>
    <t>別所　亜矢</t>
    <rPh sb="0" eb="2">
      <t>ベッショ</t>
    </rPh>
    <rPh sb="3" eb="5">
      <t>アヤ</t>
    </rPh>
    <phoneticPr fontId="2"/>
  </si>
  <si>
    <t>佐藤　真由</t>
    <rPh sb="0" eb="2">
      <t>サトウ</t>
    </rPh>
    <rPh sb="3" eb="5">
      <t>マユ</t>
    </rPh>
    <phoneticPr fontId="2"/>
  </si>
  <si>
    <t>伊藤　香織</t>
    <rPh sb="0" eb="2">
      <t>イトウ</t>
    </rPh>
    <rPh sb="3" eb="5">
      <t>カオリ</t>
    </rPh>
    <phoneticPr fontId="2"/>
  </si>
  <si>
    <t>岡　理恵子</t>
    <rPh sb="0" eb="1">
      <t>オカ</t>
    </rPh>
    <rPh sb="2" eb="5">
      <t>リエコ</t>
    </rPh>
    <phoneticPr fontId="2"/>
  </si>
  <si>
    <t>平井　緑</t>
    <rPh sb="0" eb="2">
      <t>ヒライ</t>
    </rPh>
    <rPh sb="3" eb="4">
      <t>ミドリ</t>
    </rPh>
    <phoneticPr fontId="2"/>
  </si>
  <si>
    <t>B01</t>
    <phoneticPr fontId="2"/>
  </si>
  <si>
    <t>山内　尚子</t>
    <rPh sb="0" eb="2">
      <t>ヤマウチ</t>
    </rPh>
    <rPh sb="3" eb="5">
      <t>ナオコ</t>
    </rPh>
    <phoneticPr fontId="2"/>
  </si>
  <si>
    <t>斉藤　芳江</t>
    <rPh sb="0" eb="2">
      <t>サイトウ</t>
    </rPh>
    <rPh sb="3" eb="5">
      <t>ヨシエ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</si>
</sst>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6" formatCode="&quot;¥&quot;#,##0;[Red]&quot;¥&quot;\-#,##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6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6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14" fontId="0" fillId="0" borderId="1" xfId="0" applyNumberFormat="1" applyBorder="1">
      <alignment vertical="center"/>
    </xf>
    <xf numFmtId="6" fontId="0" fillId="0" borderId="1" xfId="1" applyFont="1" applyBorder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centerContinuous" vertical="center"/>
    </xf>
    <xf numFmtId="0" fontId="0" fillId="0" borderId="0" xfId="0" applyAlignment="1">
      <alignment horizontal="centerContinuous" vertical="center"/>
    </xf>
  </cellXfs>
  <cellStyles count="2">
    <cellStyle name="通貨" xfId="1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847725</xdr:colOff>
          <xdr:row>0</xdr:row>
          <xdr:rowOff>228600</xdr:rowOff>
        </xdr:from>
        <xdr:to>
          <xdr:col>6</xdr:col>
          <xdr:colOff>295275</xdr:colOff>
          <xdr:row>2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561975</xdr:colOff>
          <xdr:row>0</xdr:row>
          <xdr:rowOff>228600</xdr:rowOff>
        </xdr:from>
        <xdr:to>
          <xdr:col>7</xdr:col>
          <xdr:colOff>9525</xdr:colOff>
          <xdr:row>2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ja-JP" altLang="en-US" sz="11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解除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12</xdr:row>
      <xdr:rowOff>0</xdr:rowOff>
    </xdr:from>
    <xdr:to>
      <xdr:col>12</xdr:col>
      <xdr:colOff>638175</xdr:colOff>
      <xdr:row>15</xdr:row>
      <xdr:rowOff>152400</xdr:rowOff>
    </xdr:to>
    <xdr:sp macro="" textlink="">
      <xdr:nvSpPr>
        <xdr:cNvPr id="2" name="正方形/長方形 1"/>
        <xdr:cNvSpPr/>
      </xdr:nvSpPr>
      <xdr:spPr>
        <a:xfrm>
          <a:off x="6410325" y="3162300"/>
          <a:ext cx="2800350" cy="866775"/>
        </a:xfrm>
        <a:prstGeom prst="rect">
          <a:avLst/>
        </a:prstGeom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100"/>
            <a:t>3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5%</a:t>
          </a:r>
          <a:r>
            <a:rPr kumimoji="1" lang="ja-JP" altLang="en-US" sz="1100"/>
            <a:t>引き</a:t>
          </a:r>
        </a:p>
        <a:p>
          <a:pPr algn="l"/>
          <a:r>
            <a:rPr kumimoji="1" lang="en-US" altLang="ja-JP" sz="1100"/>
            <a:t>2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3%</a:t>
          </a:r>
          <a:r>
            <a:rPr kumimoji="1" lang="ja-JP" altLang="en-US" sz="1100"/>
            <a:t>引き</a:t>
          </a:r>
        </a:p>
        <a:p>
          <a:pPr algn="l"/>
          <a:r>
            <a:rPr kumimoji="1" lang="en-US" altLang="ja-JP" sz="1100"/>
            <a:t>1</a:t>
          </a:r>
          <a:r>
            <a:rPr kumimoji="1" lang="ja-JP" altLang="en-US" sz="1100"/>
            <a:t>年以上継続・・・通常料金から</a:t>
          </a:r>
          <a:r>
            <a:rPr kumimoji="1" lang="en-US" altLang="ja-JP" sz="1100"/>
            <a:t>2%</a:t>
          </a:r>
          <a:r>
            <a:rPr kumimoji="1" lang="ja-JP" altLang="en-US" sz="1100"/>
            <a:t>引き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G106"/>
  <sheetViews>
    <sheetView tabSelected="1" workbookViewId="0"/>
  </sheetViews>
  <sheetFormatPr defaultRowHeight="18.75" x14ac:dyDescent="0.4"/>
  <cols>
    <col min="1" max="1" width="1.625" customWidth="1"/>
    <col min="2" max="2" width="8.125" customWidth="1"/>
    <col min="3" max="3" width="7.5" customWidth="1"/>
    <col min="4" max="4" width="12.25" customWidth="1"/>
    <col min="5" max="5" width="11" customWidth="1"/>
    <col min="6" max="7" width="15.25" customWidth="1"/>
  </cols>
  <sheetData>
    <row r="2" spans="2:7" ht="24" x14ac:dyDescent="0.4">
      <c r="B2" s="3" t="s">
        <v>0</v>
      </c>
    </row>
    <row r="4" spans="2:7" x14ac:dyDescent="0.4">
      <c r="B4" s="2" t="s">
        <v>1</v>
      </c>
      <c r="C4" s="2" t="s">
        <v>2</v>
      </c>
      <c r="D4" s="2" t="s">
        <v>3</v>
      </c>
      <c r="E4" s="2" t="s">
        <v>4</v>
      </c>
      <c r="F4" s="2" t="s">
        <v>5</v>
      </c>
      <c r="G4" s="2" t="s">
        <v>6</v>
      </c>
    </row>
    <row r="5" spans="2:7" x14ac:dyDescent="0.4">
      <c r="B5" s="1" t="s">
        <v>7</v>
      </c>
      <c r="C5" s="1" t="s">
        <v>8</v>
      </c>
      <c r="D5" s="1" t="s">
        <v>9</v>
      </c>
      <c r="E5" s="1" t="s">
        <v>10</v>
      </c>
      <c r="F5" s="1" t="s">
        <v>11</v>
      </c>
      <c r="G5" s="1" t="s">
        <v>12</v>
      </c>
    </row>
    <row r="6" spans="2:7" x14ac:dyDescent="0.4">
      <c r="B6" s="1" t="s">
        <v>13</v>
      </c>
      <c r="C6" s="1" t="s">
        <v>14</v>
      </c>
      <c r="D6" s="1" t="s">
        <v>15</v>
      </c>
      <c r="E6" s="1" t="s">
        <v>16</v>
      </c>
      <c r="F6" s="1" t="s">
        <v>11</v>
      </c>
      <c r="G6" s="1" t="s">
        <v>17</v>
      </c>
    </row>
    <row r="7" spans="2:7" x14ac:dyDescent="0.4">
      <c r="B7" s="1" t="s">
        <v>18</v>
      </c>
      <c r="C7" s="1" t="s">
        <v>8</v>
      </c>
      <c r="D7" s="1" t="s">
        <v>9</v>
      </c>
      <c r="E7" s="1" t="s">
        <v>10</v>
      </c>
      <c r="F7" s="1" t="s">
        <v>19</v>
      </c>
      <c r="G7" s="1" t="s">
        <v>20</v>
      </c>
    </row>
    <row r="8" spans="2:7" x14ac:dyDescent="0.4">
      <c r="B8" s="1" t="s">
        <v>21</v>
      </c>
      <c r="C8" s="1" t="s">
        <v>8</v>
      </c>
      <c r="D8" s="1" t="s">
        <v>22</v>
      </c>
      <c r="E8" s="1" t="s">
        <v>16</v>
      </c>
      <c r="F8" s="1" t="s">
        <v>19</v>
      </c>
      <c r="G8" s="1" t="s">
        <v>23</v>
      </c>
    </row>
    <row r="9" spans="2:7" x14ac:dyDescent="0.4">
      <c r="B9" s="1" t="s">
        <v>24</v>
      </c>
      <c r="C9" s="1" t="s">
        <v>14</v>
      </c>
      <c r="D9" s="1" t="s">
        <v>25</v>
      </c>
      <c r="E9" s="1" t="s">
        <v>16</v>
      </c>
      <c r="F9" s="1" t="s">
        <v>19</v>
      </c>
      <c r="G9" s="1" t="s">
        <v>23</v>
      </c>
    </row>
    <row r="10" spans="2:7" x14ac:dyDescent="0.4">
      <c r="B10" s="1" t="s">
        <v>26</v>
      </c>
      <c r="C10" s="1" t="s">
        <v>8</v>
      </c>
      <c r="D10" s="1" t="s">
        <v>15</v>
      </c>
      <c r="E10" s="1" t="s">
        <v>10</v>
      </c>
      <c r="F10" s="1" t="s">
        <v>19</v>
      </c>
      <c r="G10" s="1" t="s">
        <v>23</v>
      </c>
    </row>
    <row r="11" spans="2:7" x14ac:dyDescent="0.4">
      <c r="B11" s="1" t="s">
        <v>27</v>
      </c>
      <c r="C11" s="1" t="s">
        <v>8</v>
      </c>
      <c r="D11" s="1" t="s">
        <v>9</v>
      </c>
      <c r="E11" s="1" t="s">
        <v>28</v>
      </c>
      <c r="F11" s="1" t="s">
        <v>11</v>
      </c>
      <c r="G11" s="1" t="s">
        <v>17</v>
      </c>
    </row>
    <row r="12" spans="2:7" x14ac:dyDescent="0.4">
      <c r="B12" s="1" t="s">
        <v>29</v>
      </c>
      <c r="C12" s="1" t="s">
        <v>14</v>
      </c>
      <c r="D12" s="1" t="s">
        <v>22</v>
      </c>
      <c r="E12" s="1" t="s">
        <v>16</v>
      </c>
      <c r="F12" s="1" t="s">
        <v>11</v>
      </c>
      <c r="G12" s="1" t="s">
        <v>20</v>
      </c>
    </row>
    <row r="13" spans="2:7" x14ac:dyDescent="0.4">
      <c r="B13" s="1" t="s">
        <v>30</v>
      </c>
      <c r="C13" s="1" t="s">
        <v>8</v>
      </c>
      <c r="D13" s="1" t="s">
        <v>25</v>
      </c>
      <c r="E13" s="1" t="s">
        <v>16</v>
      </c>
      <c r="F13" s="1" t="s">
        <v>22</v>
      </c>
      <c r="G13" s="1" t="s">
        <v>31</v>
      </c>
    </row>
    <row r="14" spans="2:7" x14ac:dyDescent="0.4">
      <c r="B14" s="1" t="s">
        <v>32</v>
      </c>
      <c r="C14" s="1" t="s">
        <v>8</v>
      </c>
      <c r="D14" s="1" t="s">
        <v>25</v>
      </c>
      <c r="E14" s="1" t="s">
        <v>16</v>
      </c>
      <c r="F14" s="1" t="s">
        <v>19</v>
      </c>
      <c r="G14" s="1" t="s">
        <v>17</v>
      </c>
    </row>
    <row r="15" spans="2:7" x14ac:dyDescent="0.4">
      <c r="B15" s="1" t="s">
        <v>33</v>
      </c>
      <c r="C15" s="1" t="s">
        <v>14</v>
      </c>
      <c r="D15" s="1" t="s">
        <v>25</v>
      </c>
      <c r="E15" s="1" t="s">
        <v>16</v>
      </c>
      <c r="F15" s="1" t="s">
        <v>19</v>
      </c>
      <c r="G15" s="1" t="s">
        <v>23</v>
      </c>
    </row>
    <row r="16" spans="2:7" x14ac:dyDescent="0.4">
      <c r="B16" s="1" t="s">
        <v>34</v>
      </c>
      <c r="C16" s="1" t="s">
        <v>8</v>
      </c>
      <c r="D16" s="1" t="s">
        <v>15</v>
      </c>
      <c r="E16" s="1" t="s">
        <v>10</v>
      </c>
      <c r="F16" s="1" t="s">
        <v>11</v>
      </c>
      <c r="G16" s="1" t="s">
        <v>35</v>
      </c>
    </row>
    <row r="17" spans="2:7" x14ac:dyDescent="0.4">
      <c r="B17" s="1" t="s">
        <v>36</v>
      </c>
      <c r="C17" s="1" t="s">
        <v>8</v>
      </c>
      <c r="D17" s="1" t="s">
        <v>9</v>
      </c>
      <c r="E17" s="1" t="s">
        <v>28</v>
      </c>
      <c r="F17" s="1" t="s">
        <v>11</v>
      </c>
      <c r="G17" s="1" t="s">
        <v>20</v>
      </c>
    </row>
    <row r="18" spans="2:7" x14ac:dyDescent="0.4">
      <c r="B18" s="1" t="s">
        <v>37</v>
      </c>
      <c r="C18" s="1" t="s">
        <v>14</v>
      </c>
      <c r="D18" s="1" t="s">
        <v>22</v>
      </c>
      <c r="E18" s="1" t="s">
        <v>16</v>
      </c>
      <c r="F18" s="1" t="s">
        <v>22</v>
      </c>
      <c r="G18" s="1" t="s">
        <v>23</v>
      </c>
    </row>
    <row r="19" spans="2:7" x14ac:dyDescent="0.4">
      <c r="B19" s="1" t="s">
        <v>38</v>
      </c>
      <c r="C19" s="1" t="s">
        <v>8</v>
      </c>
      <c r="D19" s="1" t="s">
        <v>25</v>
      </c>
      <c r="E19" s="1" t="s">
        <v>16</v>
      </c>
      <c r="F19" s="1" t="s">
        <v>19</v>
      </c>
      <c r="G19" s="1" t="s">
        <v>23</v>
      </c>
    </row>
    <row r="20" spans="2:7" x14ac:dyDescent="0.4">
      <c r="B20" s="1" t="s">
        <v>39</v>
      </c>
      <c r="C20" s="1" t="s">
        <v>8</v>
      </c>
      <c r="D20" s="1" t="s">
        <v>25</v>
      </c>
      <c r="E20" s="1" t="s">
        <v>16</v>
      </c>
      <c r="F20" s="1" t="s">
        <v>11</v>
      </c>
      <c r="G20" s="1" t="s">
        <v>23</v>
      </c>
    </row>
    <row r="21" spans="2:7" x14ac:dyDescent="0.4">
      <c r="B21" s="1" t="s">
        <v>40</v>
      </c>
      <c r="C21" s="1" t="s">
        <v>14</v>
      </c>
      <c r="D21" s="1" t="s">
        <v>25</v>
      </c>
      <c r="E21" s="1" t="s">
        <v>10</v>
      </c>
      <c r="F21" s="1" t="s">
        <v>11</v>
      </c>
      <c r="G21" s="1" t="s">
        <v>35</v>
      </c>
    </row>
    <row r="22" spans="2:7" x14ac:dyDescent="0.4">
      <c r="B22" s="1" t="s">
        <v>41</v>
      </c>
      <c r="C22" s="1" t="s">
        <v>8</v>
      </c>
      <c r="D22" s="1" t="s">
        <v>15</v>
      </c>
      <c r="E22" s="1" t="s">
        <v>28</v>
      </c>
      <c r="F22" s="1" t="s">
        <v>22</v>
      </c>
      <c r="G22" s="1" t="s">
        <v>20</v>
      </c>
    </row>
    <row r="23" spans="2:7" x14ac:dyDescent="0.4">
      <c r="B23" s="1" t="s">
        <v>42</v>
      </c>
      <c r="C23" s="1" t="s">
        <v>8</v>
      </c>
      <c r="D23" s="1" t="s">
        <v>9</v>
      </c>
      <c r="E23" s="1" t="s">
        <v>16</v>
      </c>
      <c r="F23" s="1" t="s">
        <v>11</v>
      </c>
      <c r="G23" s="1" t="s">
        <v>20</v>
      </c>
    </row>
    <row r="24" spans="2:7" x14ac:dyDescent="0.4">
      <c r="B24" s="1" t="s">
        <v>43</v>
      </c>
      <c r="C24" s="1" t="s">
        <v>14</v>
      </c>
      <c r="D24" s="1" t="s">
        <v>15</v>
      </c>
      <c r="E24" s="1" t="s">
        <v>16</v>
      </c>
      <c r="F24" s="1" t="s">
        <v>11</v>
      </c>
      <c r="G24" s="1" t="s">
        <v>23</v>
      </c>
    </row>
    <row r="25" spans="2:7" x14ac:dyDescent="0.4">
      <c r="B25" s="1" t="s">
        <v>44</v>
      </c>
      <c r="C25" s="1" t="s">
        <v>8</v>
      </c>
      <c r="D25" s="1" t="s">
        <v>9</v>
      </c>
      <c r="E25" s="1" t="s">
        <v>10</v>
      </c>
      <c r="F25" s="1" t="s">
        <v>19</v>
      </c>
      <c r="G25" s="1" t="s">
        <v>45</v>
      </c>
    </row>
    <row r="26" spans="2:7" x14ac:dyDescent="0.4">
      <c r="B26" s="1" t="s">
        <v>46</v>
      </c>
      <c r="C26" s="1" t="s">
        <v>8</v>
      </c>
      <c r="D26" s="1" t="s">
        <v>25</v>
      </c>
      <c r="E26" s="1" t="s">
        <v>28</v>
      </c>
      <c r="F26" s="1" t="s">
        <v>19</v>
      </c>
      <c r="G26" s="1" t="s">
        <v>20</v>
      </c>
    </row>
    <row r="27" spans="2:7" x14ac:dyDescent="0.4">
      <c r="B27" s="1" t="s">
        <v>47</v>
      </c>
      <c r="C27" s="1" t="s">
        <v>14</v>
      </c>
      <c r="D27" s="1" t="s">
        <v>25</v>
      </c>
      <c r="E27" s="1" t="s">
        <v>16</v>
      </c>
      <c r="F27" s="1" t="s">
        <v>19</v>
      </c>
      <c r="G27" s="1" t="s">
        <v>23</v>
      </c>
    </row>
    <row r="28" spans="2:7" x14ac:dyDescent="0.4">
      <c r="B28" s="1" t="s">
        <v>48</v>
      </c>
      <c r="C28" s="1" t="s">
        <v>8</v>
      </c>
      <c r="D28" s="1" t="s">
        <v>25</v>
      </c>
      <c r="E28" s="1" t="s">
        <v>16</v>
      </c>
      <c r="F28" s="1" t="s">
        <v>19</v>
      </c>
      <c r="G28" s="1" t="s">
        <v>31</v>
      </c>
    </row>
    <row r="29" spans="2:7" x14ac:dyDescent="0.4">
      <c r="B29" s="1" t="s">
        <v>49</v>
      </c>
      <c r="C29" s="1" t="s">
        <v>8</v>
      </c>
      <c r="D29" s="1" t="s">
        <v>9</v>
      </c>
      <c r="E29" s="1" t="s">
        <v>16</v>
      </c>
      <c r="F29" s="1" t="s">
        <v>11</v>
      </c>
      <c r="G29" s="1" t="s">
        <v>23</v>
      </c>
    </row>
    <row r="30" spans="2:7" x14ac:dyDescent="0.4">
      <c r="B30" s="1" t="s">
        <v>50</v>
      </c>
      <c r="C30" s="1" t="s">
        <v>14</v>
      </c>
      <c r="D30" s="1" t="s">
        <v>15</v>
      </c>
      <c r="E30" s="1" t="s">
        <v>10</v>
      </c>
      <c r="F30" s="1" t="s">
        <v>11</v>
      </c>
      <c r="G30" s="1" t="s">
        <v>17</v>
      </c>
    </row>
    <row r="31" spans="2:7" x14ac:dyDescent="0.4">
      <c r="B31" s="1" t="s">
        <v>51</v>
      </c>
      <c r="C31" s="1" t="s">
        <v>8</v>
      </c>
      <c r="D31" s="1" t="s">
        <v>9</v>
      </c>
      <c r="E31" s="1" t="s">
        <v>28</v>
      </c>
      <c r="F31" s="1" t="s">
        <v>22</v>
      </c>
      <c r="G31" s="1" t="s">
        <v>20</v>
      </c>
    </row>
    <row r="32" spans="2:7" x14ac:dyDescent="0.4">
      <c r="B32" s="1" t="s">
        <v>52</v>
      </c>
      <c r="C32" s="1" t="s">
        <v>14</v>
      </c>
      <c r="D32" s="1" t="s">
        <v>25</v>
      </c>
      <c r="E32" s="1" t="s">
        <v>16</v>
      </c>
      <c r="F32" s="1" t="s">
        <v>19</v>
      </c>
      <c r="G32" s="1" t="s">
        <v>17</v>
      </c>
    </row>
    <row r="33" spans="2:7" x14ac:dyDescent="0.4">
      <c r="B33" s="1" t="s">
        <v>53</v>
      </c>
      <c r="C33" s="1" t="s">
        <v>8</v>
      </c>
      <c r="D33" s="1" t="s">
        <v>25</v>
      </c>
      <c r="E33" s="1" t="s">
        <v>10</v>
      </c>
      <c r="F33" s="1" t="s">
        <v>11</v>
      </c>
      <c r="G33" s="1" t="s">
        <v>20</v>
      </c>
    </row>
    <row r="34" spans="2:7" x14ac:dyDescent="0.4">
      <c r="B34" s="1" t="s">
        <v>54</v>
      </c>
      <c r="C34" s="1" t="s">
        <v>8</v>
      </c>
      <c r="D34" s="1" t="s">
        <v>25</v>
      </c>
      <c r="E34" s="1" t="s">
        <v>28</v>
      </c>
      <c r="F34" s="1" t="s">
        <v>11</v>
      </c>
      <c r="G34" s="1" t="s">
        <v>23</v>
      </c>
    </row>
    <row r="35" spans="2:7" x14ac:dyDescent="0.4">
      <c r="B35" s="1" t="s">
        <v>55</v>
      </c>
      <c r="C35" s="1" t="s">
        <v>14</v>
      </c>
      <c r="D35" s="1" t="s">
        <v>15</v>
      </c>
      <c r="E35" s="1" t="s">
        <v>10</v>
      </c>
      <c r="F35" s="1" t="s">
        <v>22</v>
      </c>
      <c r="G35" s="1" t="s">
        <v>23</v>
      </c>
    </row>
    <row r="36" spans="2:7" x14ac:dyDescent="0.4">
      <c r="B36" s="1" t="s">
        <v>56</v>
      </c>
      <c r="C36" s="1" t="s">
        <v>8</v>
      </c>
      <c r="D36" s="1" t="s">
        <v>9</v>
      </c>
      <c r="E36" s="1" t="s">
        <v>16</v>
      </c>
      <c r="F36" s="1" t="s">
        <v>19</v>
      </c>
      <c r="G36" s="1" t="s">
        <v>23</v>
      </c>
    </row>
    <row r="37" spans="2:7" x14ac:dyDescent="0.4">
      <c r="B37" s="1" t="s">
        <v>57</v>
      </c>
      <c r="C37" s="1" t="s">
        <v>8</v>
      </c>
      <c r="D37" s="1" t="s">
        <v>22</v>
      </c>
      <c r="E37" s="1" t="s">
        <v>10</v>
      </c>
      <c r="F37" s="1" t="s">
        <v>11</v>
      </c>
      <c r="G37" s="1" t="s">
        <v>17</v>
      </c>
    </row>
    <row r="38" spans="2:7" x14ac:dyDescent="0.4">
      <c r="B38" s="1" t="s">
        <v>58</v>
      </c>
      <c r="C38" s="1" t="s">
        <v>14</v>
      </c>
      <c r="D38" s="1" t="s">
        <v>25</v>
      </c>
      <c r="E38" s="1" t="s">
        <v>16</v>
      </c>
      <c r="F38" s="1" t="s">
        <v>11</v>
      </c>
      <c r="G38" s="1" t="s">
        <v>20</v>
      </c>
    </row>
    <row r="39" spans="2:7" x14ac:dyDescent="0.4">
      <c r="B39" s="1" t="s">
        <v>59</v>
      </c>
      <c r="C39" s="1" t="s">
        <v>8</v>
      </c>
      <c r="D39" s="1" t="s">
        <v>25</v>
      </c>
      <c r="E39" s="1" t="s">
        <v>16</v>
      </c>
      <c r="F39" s="1" t="s">
        <v>22</v>
      </c>
      <c r="G39" s="1" t="s">
        <v>23</v>
      </c>
    </row>
    <row r="40" spans="2:7" x14ac:dyDescent="0.4">
      <c r="B40" s="1" t="s">
        <v>60</v>
      </c>
      <c r="C40" s="1" t="s">
        <v>8</v>
      </c>
      <c r="D40" s="1" t="s">
        <v>25</v>
      </c>
      <c r="E40" s="1" t="s">
        <v>10</v>
      </c>
      <c r="F40" s="1" t="s">
        <v>11</v>
      </c>
      <c r="G40" s="1" t="s">
        <v>17</v>
      </c>
    </row>
    <row r="41" spans="2:7" x14ac:dyDescent="0.4">
      <c r="B41" s="1" t="s">
        <v>61</v>
      </c>
      <c r="C41" s="1" t="s">
        <v>8</v>
      </c>
      <c r="D41" s="1" t="s">
        <v>15</v>
      </c>
      <c r="E41" s="1" t="s">
        <v>28</v>
      </c>
      <c r="F41" s="1" t="s">
        <v>11</v>
      </c>
      <c r="G41" s="1" t="s">
        <v>20</v>
      </c>
    </row>
    <row r="42" spans="2:7" x14ac:dyDescent="0.4">
      <c r="B42" s="1" t="s">
        <v>62</v>
      </c>
      <c r="C42" s="1" t="s">
        <v>8</v>
      </c>
      <c r="D42" s="1" t="s">
        <v>9</v>
      </c>
      <c r="E42" s="1" t="s">
        <v>16</v>
      </c>
      <c r="F42" s="1" t="s">
        <v>19</v>
      </c>
      <c r="G42" s="1" t="s">
        <v>31</v>
      </c>
    </row>
    <row r="43" spans="2:7" x14ac:dyDescent="0.4">
      <c r="B43" s="1" t="s">
        <v>63</v>
      </c>
      <c r="C43" s="1" t="s">
        <v>8</v>
      </c>
      <c r="D43" s="1" t="s">
        <v>22</v>
      </c>
      <c r="E43" s="1" t="s">
        <v>10</v>
      </c>
      <c r="F43" s="1" t="s">
        <v>19</v>
      </c>
      <c r="G43" s="1" t="s">
        <v>23</v>
      </c>
    </row>
    <row r="44" spans="2:7" x14ac:dyDescent="0.4">
      <c r="B44" s="1" t="s">
        <v>64</v>
      </c>
      <c r="C44" s="1" t="s">
        <v>14</v>
      </c>
      <c r="D44" s="1" t="s">
        <v>25</v>
      </c>
      <c r="E44" s="1" t="s">
        <v>16</v>
      </c>
      <c r="F44" s="1" t="s">
        <v>11</v>
      </c>
      <c r="G44" s="1" t="s">
        <v>17</v>
      </c>
    </row>
    <row r="45" spans="2:7" x14ac:dyDescent="0.4">
      <c r="B45" s="1" t="s">
        <v>65</v>
      </c>
      <c r="C45" s="1" t="s">
        <v>8</v>
      </c>
      <c r="D45" s="1" t="s">
        <v>25</v>
      </c>
      <c r="E45" s="1" t="s">
        <v>10</v>
      </c>
      <c r="F45" s="1" t="s">
        <v>11</v>
      </c>
      <c r="G45" s="1" t="s">
        <v>20</v>
      </c>
    </row>
    <row r="46" spans="2:7" x14ac:dyDescent="0.4">
      <c r="B46" s="1" t="s">
        <v>66</v>
      </c>
      <c r="C46" s="1" t="s">
        <v>8</v>
      </c>
      <c r="D46" s="1" t="s">
        <v>25</v>
      </c>
      <c r="E46" s="1" t="s">
        <v>16</v>
      </c>
      <c r="F46" s="1" t="s">
        <v>22</v>
      </c>
      <c r="G46" s="1" t="s">
        <v>23</v>
      </c>
    </row>
    <row r="47" spans="2:7" x14ac:dyDescent="0.4">
      <c r="B47" s="1" t="s">
        <v>67</v>
      </c>
      <c r="C47" s="1" t="s">
        <v>8</v>
      </c>
      <c r="D47" s="1" t="s">
        <v>15</v>
      </c>
      <c r="E47" s="1" t="s">
        <v>16</v>
      </c>
      <c r="F47" s="1" t="s">
        <v>11</v>
      </c>
      <c r="G47" s="1" t="s">
        <v>23</v>
      </c>
    </row>
    <row r="48" spans="2:7" x14ac:dyDescent="0.4">
      <c r="B48" s="1" t="s">
        <v>68</v>
      </c>
      <c r="C48" s="1" t="s">
        <v>8</v>
      </c>
      <c r="D48" s="1" t="s">
        <v>9</v>
      </c>
      <c r="E48" s="1" t="s">
        <v>10</v>
      </c>
      <c r="F48" s="1" t="s">
        <v>11</v>
      </c>
      <c r="G48" s="1" t="s">
        <v>23</v>
      </c>
    </row>
    <row r="49" spans="2:7" x14ac:dyDescent="0.4">
      <c r="B49" s="1" t="s">
        <v>69</v>
      </c>
      <c r="C49" s="1" t="s">
        <v>14</v>
      </c>
      <c r="D49" s="1" t="s">
        <v>15</v>
      </c>
      <c r="E49" s="1" t="s">
        <v>28</v>
      </c>
      <c r="F49" s="1" t="s">
        <v>19</v>
      </c>
      <c r="G49" s="1" t="s">
        <v>17</v>
      </c>
    </row>
    <row r="50" spans="2:7" x14ac:dyDescent="0.4">
      <c r="B50" s="1" t="s">
        <v>70</v>
      </c>
      <c r="C50" s="1" t="s">
        <v>8</v>
      </c>
      <c r="D50" s="1" t="s">
        <v>9</v>
      </c>
      <c r="E50" s="1" t="s">
        <v>16</v>
      </c>
      <c r="F50" s="1" t="s">
        <v>19</v>
      </c>
      <c r="G50" s="1" t="s">
        <v>71</v>
      </c>
    </row>
    <row r="51" spans="2:7" x14ac:dyDescent="0.4">
      <c r="B51" s="1" t="s">
        <v>72</v>
      </c>
      <c r="C51" s="1" t="s">
        <v>8</v>
      </c>
      <c r="D51" s="1" t="s">
        <v>25</v>
      </c>
      <c r="E51" s="1" t="s">
        <v>16</v>
      </c>
      <c r="F51" s="1" t="s">
        <v>19</v>
      </c>
      <c r="G51" s="1" t="s">
        <v>31</v>
      </c>
    </row>
    <row r="52" spans="2:7" x14ac:dyDescent="0.4">
      <c r="B52" s="1" t="s">
        <v>73</v>
      </c>
      <c r="C52" s="1" t="s">
        <v>8</v>
      </c>
      <c r="D52" s="1" t="s">
        <v>25</v>
      </c>
      <c r="E52" s="1" t="s">
        <v>10</v>
      </c>
      <c r="F52" s="1" t="s">
        <v>11</v>
      </c>
      <c r="G52" s="1" t="s">
        <v>71</v>
      </c>
    </row>
    <row r="53" spans="2:7" x14ac:dyDescent="0.4">
      <c r="B53" s="1" t="s">
        <v>74</v>
      </c>
      <c r="C53" s="1" t="s">
        <v>8</v>
      </c>
      <c r="D53" s="1" t="s">
        <v>15</v>
      </c>
      <c r="E53" s="1" t="s">
        <v>28</v>
      </c>
      <c r="F53" s="1" t="s">
        <v>11</v>
      </c>
      <c r="G53" s="1" t="s">
        <v>31</v>
      </c>
    </row>
    <row r="54" spans="2:7" x14ac:dyDescent="0.4">
      <c r="B54" s="1" t="s">
        <v>75</v>
      </c>
      <c r="C54" s="1" t="s">
        <v>14</v>
      </c>
      <c r="D54" s="1" t="s">
        <v>9</v>
      </c>
      <c r="E54" s="1" t="s">
        <v>10</v>
      </c>
      <c r="F54" s="1" t="s">
        <v>22</v>
      </c>
      <c r="G54" s="1" t="s">
        <v>23</v>
      </c>
    </row>
    <row r="55" spans="2:7" x14ac:dyDescent="0.4">
      <c r="B55" s="1" t="s">
        <v>76</v>
      </c>
      <c r="C55" s="1" t="s">
        <v>8</v>
      </c>
      <c r="D55" s="1" t="s">
        <v>15</v>
      </c>
      <c r="E55" s="1" t="s">
        <v>16</v>
      </c>
      <c r="F55" s="1" t="s">
        <v>11</v>
      </c>
      <c r="G55" s="1" t="s">
        <v>23</v>
      </c>
    </row>
    <row r="56" spans="2:7" x14ac:dyDescent="0.4">
      <c r="B56" s="1" t="s">
        <v>77</v>
      </c>
      <c r="C56" s="1" t="s">
        <v>8</v>
      </c>
      <c r="D56" s="1" t="s">
        <v>9</v>
      </c>
      <c r="E56" s="1" t="s">
        <v>10</v>
      </c>
      <c r="F56" s="1" t="s">
        <v>11</v>
      </c>
      <c r="G56" s="1" t="s">
        <v>17</v>
      </c>
    </row>
    <row r="57" spans="2:7" x14ac:dyDescent="0.4">
      <c r="B57" s="1" t="s">
        <v>78</v>
      </c>
      <c r="C57" s="1" t="s">
        <v>14</v>
      </c>
      <c r="D57" s="1" t="s">
        <v>22</v>
      </c>
      <c r="E57" s="1" t="s">
        <v>16</v>
      </c>
      <c r="F57" s="1" t="s">
        <v>19</v>
      </c>
      <c r="G57" s="1" t="s">
        <v>20</v>
      </c>
    </row>
    <row r="58" spans="2:7" x14ac:dyDescent="0.4">
      <c r="B58" s="1" t="s">
        <v>79</v>
      </c>
      <c r="C58" s="1" t="s">
        <v>8</v>
      </c>
      <c r="D58" s="1" t="s">
        <v>25</v>
      </c>
      <c r="E58" s="1" t="s">
        <v>16</v>
      </c>
      <c r="F58" s="1" t="s">
        <v>19</v>
      </c>
      <c r="G58" s="1" t="s">
        <v>23</v>
      </c>
    </row>
    <row r="59" spans="2:7" x14ac:dyDescent="0.4">
      <c r="B59" s="1" t="s">
        <v>80</v>
      </c>
      <c r="C59" s="1" t="s">
        <v>8</v>
      </c>
      <c r="D59" s="1" t="s">
        <v>25</v>
      </c>
      <c r="E59" s="1" t="s">
        <v>10</v>
      </c>
      <c r="F59" s="1" t="s">
        <v>19</v>
      </c>
      <c r="G59" s="1" t="s">
        <v>35</v>
      </c>
    </row>
    <row r="60" spans="2:7" x14ac:dyDescent="0.4">
      <c r="B60" s="1" t="s">
        <v>81</v>
      </c>
      <c r="C60" s="1" t="s">
        <v>14</v>
      </c>
      <c r="D60" s="1" t="s">
        <v>25</v>
      </c>
      <c r="E60" s="1" t="s">
        <v>28</v>
      </c>
      <c r="F60" s="1" t="s">
        <v>19</v>
      </c>
      <c r="G60" s="1" t="s">
        <v>20</v>
      </c>
    </row>
    <row r="61" spans="2:7" x14ac:dyDescent="0.4">
      <c r="B61" s="1" t="s">
        <v>82</v>
      </c>
      <c r="C61" s="1" t="s">
        <v>8</v>
      </c>
      <c r="D61" s="1" t="s">
        <v>15</v>
      </c>
      <c r="E61" s="1" t="s">
        <v>16</v>
      </c>
      <c r="F61" s="1" t="s">
        <v>11</v>
      </c>
      <c r="G61" s="1" t="s">
        <v>23</v>
      </c>
    </row>
    <row r="62" spans="2:7" x14ac:dyDescent="0.4">
      <c r="B62" s="1" t="s">
        <v>83</v>
      </c>
      <c r="C62" s="1" t="s">
        <v>8</v>
      </c>
      <c r="D62" s="1" t="s">
        <v>9</v>
      </c>
      <c r="E62" s="1" t="s">
        <v>16</v>
      </c>
      <c r="F62" s="1" t="s">
        <v>11</v>
      </c>
      <c r="G62" s="1" t="s">
        <v>23</v>
      </c>
    </row>
    <row r="63" spans="2:7" x14ac:dyDescent="0.4">
      <c r="B63" s="1" t="s">
        <v>84</v>
      </c>
      <c r="C63" s="1" t="s">
        <v>14</v>
      </c>
      <c r="D63" s="1" t="s">
        <v>15</v>
      </c>
      <c r="E63" s="1" t="s">
        <v>16</v>
      </c>
      <c r="F63" s="1" t="s">
        <v>22</v>
      </c>
      <c r="G63" s="1" t="s">
        <v>23</v>
      </c>
    </row>
    <row r="64" spans="2:7" x14ac:dyDescent="0.4">
      <c r="B64" s="1" t="s">
        <v>85</v>
      </c>
      <c r="C64" s="1" t="s">
        <v>8</v>
      </c>
      <c r="D64" s="1" t="s">
        <v>9</v>
      </c>
      <c r="E64" s="1" t="s">
        <v>10</v>
      </c>
      <c r="F64" s="1" t="s">
        <v>19</v>
      </c>
      <c r="G64" s="1" t="s">
        <v>45</v>
      </c>
    </row>
    <row r="65" spans="2:7" x14ac:dyDescent="0.4">
      <c r="B65" s="1" t="s">
        <v>86</v>
      </c>
      <c r="C65" s="1" t="s">
        <v>8</v>
      </c>
      <c r="D65" s="1" t="s">
        <v>25</v>
      </c>
      <c r="E65" s="1" t="s">
        <v>28</v>
      </c>
      <c r="F65" s="1" t="s">
        <v>11</v>
      </c>
      <c r="G65" s="1" t="s">
        <v>20</v>
      </c>
    </row>
    <row r="66" spans="2:7" x14ac:dyDescent="0.4">
      <c r="B66" s="1" t="s">
        <v>87</v>
      </c>
      <c r="C66" s="1" t="s">
        <v>8</v>
      </c>
      <c r="D66" s="1" t="s">
        <v>25</v>
      </c>
      <c r="E66" s="1" t="s">
        <v>10</v>
      </c>
      <c r="F66" s="1" t="s">
        <v>11</v>
      </c>
      <c r="G66" s="1" t="s">
        <v>23</v>
      </c>
    </row>
    <row r="67" spans="2:7" x14ac:dyDescent="0.4">
      <c r="B67" s="1" t="s">
        <v>88</v>
      </c>
      <c r="C67" s="1" t="s">
        <v>8</v>
      </c>
      <c r="D67" s="1" t="s">
        <v>25</v>
      </c>
      <c r="E67" s="1" t="s">
        <v>16</v>
      </c>
      <c r="F67" s="1" t="s">
        <v>22</v>
      </c>
      <c r="G67" s="1" t="s">
        <v>17</v>
      </c>
    </row>
    <row r="68" spans="2:7" x14ac:dyDescent="0.4">
      <c r="B68" s="1" t="s">
        <v>89</v>
      </c>
      <c r="C68" s="1" t="s">
        <v>14</v>
      </c>
      <c r="D68" s="1" t="s">
        <v>22</v>
      </c>
      <c r="E68" s="1" t="s">
        <v>10</v>
      </c>
      <c r="F68" s="1" t="s">
        <v>11</v>
      </c>
      <c r="G68" s="1" t="s">
        <v>71</v>
      </c>
    </row>
    <row r="69" spans="2:7" x14ac:dyDescent="0.4">
      <c r="B69" s="1" t="s">
        <v>90</v>
      </c>
      <c r="C69" s="1" t="s">
        <v>8</v>
      </c>
      <c r="D69" s="1" t="s">
        <v>25</v>
      </c>
      <c r="E69" s="1" t="s">
        <v>16</v>
      </c>
      <c r="F69" s="1" t="s">
        <v>11</v>
      </c>
      <c r="G69" s="1" t="s">
        <v>23</v>
      </c>
    </row>
    <row r="70" spans="2:7" x14ac:dyDescent="0.4">
      <c r="B70" s="1" t="s">
        <v>91</v>
      </c>
      <c r="C70" s="1" t="s">
        <v>8</v>
      </c>
      <c r="D70" s="1" t="s">
        <v>25</v>
      </c>
      <c r="E70" s="1" t="s">
        <v>16</v>
      </c>
      <c r="F70" s="1" t="s">
        <v>19</v>
      </c>
      <c r="G70" s="1" t="s">
        <v>31</v>
      </c>
    </row>
    <row r="71" spans="2:7" x14ac:dyDescent="0.4">
      <c r="B71" s="1" t="s">
        <v>92</v>
      </c>
      <c r="C71" s="1" t="s">
        <v>14</v>
      </c>
      <c r="D71" s="1" t="s">
        <v>25</v>
      </c>
      <c r="E71" s="1" t="s">
        <v>10</v>
      </c>
      <c r="F71" s="1" t="s">
        <v>19</v>
      </c>
      <c r="G71" s="1" t="s">
        <v>23</v>
      </c>
    </row>
    <row r="72" spans="2:7" x14ac:dyDescent="0.4">
      <c r="B72" s="1" t="s">
        <v>93</v>
      </c>
      <c r="C72" s="1" t="s">
        <v>8</v>
      </c>
      <c r="D72" s="1" t="s">
        <v>15</v>
      </c>
      <c r="E72" s="1" t="s">
        <v>28</v>
      </c>
      <c r="F72" s="1" t="s">
        <v>19</v>
      </c>
      <c r="G72" s="1" t="s">
        <v>35</v>
      </c>
    </row>
    <row r="73" spans="2:7" x14ac:dyDescent="0.4">
      <c r="B73" s="1" t="s">
        <v>94</v>
      </c>
      <c r="C73" s="1" t="s">
        <v>8</v>
      </c>
      <c r="D73" s="1" t="s">
        <v>9</v>
      </c>
      <c r="E73" s="1" t="s">
        <v>16</v>
      </c>
      <c r="F73" s="1" t="s">
        <v>19</v>
      </c>
      <c r="G73" s="1" t="s">
        <v>71</v>
      </c>
    </row>
    <row r="74" spans="2:7" x14ac:dyDescent="0.4">
      <c r="B74" s="1" t="s">
        <v>95</v>
      </c>
      <c r="C74" s="1" t="s">
        <v>14</v>
      </c>
      <c r="D74" s="1" t="s">
        <v>15</v>
      </c>
      <c r="E74" s="1" t="s">
        <v>16</v>
      </c>
      <c r="F74" s="1" t="s">
        <v>11</v>
      </c>
      <c r="G74" s="1" t="s">
        <v>23</v>
      </c>
    </row>
    <row r="75" spans="2:7" x14ac:dyDescent="0.4">
      <c r="B75" s="1" t="s">
        <v>96</v>
      </c>
      <c r="C75" s="1" t="s">
        <v>8</v>
      </c>
      <c r="D75" s="1" t="s">
        <v>9</v>
      </c>
      <c r="E75" s="1" t="s">
        <v>16</v>
      </c>
      <c r="F75" s="1" t="s">
        <v>11</v>
      </c>
      <c r="G75" s="1" t="s">
        <v>45</v>
      </c>
    </row>
    <row r="76" spans="2:7" x14ac:dyDescent="0.4">
      <c r="B76" s="1" t="s">
        <v>97</v>
      </c>
      <c r="C76" s="1" t="s">
        <v>8</v>
      </c>
      <c r="D76" s="1" t="s">
        <v>22</v>
      </c>
      <c r="E76" s="1" t="s">
        <v>10</v>
      </c>
      <c r="F76" s="1" t="s">
        <v>22</v>
      </c>
      <c r="G76" s="1" t="s">
        <v>20</v>
      </c>
    </row>
    <row r="77" spans="2:7" x14ac:dyDescent="0.4">
      <c r="B77" s="1" t="s">
        <v>98</v>
      </c>
      <c r="C77" s="1" t="s">
        <v>14</v>
      </c>
      <c r="D77" s="1" t="s">
        <v>25</v>
      </c>
      <c r="E77" s="1" t="s">
        <v>28</v>
      </c>
      <c r="F77" s="1" t="s">
        <v>19</v>
      </c>
      <c r="G77" s="1" t="s">
        <v>23</v>
      </c>
    </row>
    <row r="78" spans="2:7" x14ac:dyDescent="0.4">
      <c r="B78" s="1" t="s">
        <v>99</v>
      </c>
      <c r="C78" s="1" t="s">
        <v>8</v>
      </c>
      <c r="D78" s="1" t="s">
        <v>25</v>
      </c>
      <c r="E78" s="1" t="s">
        <v>10</v>
      </c>
      <c r="F78" s="1" t="s">
        <v>11</v>
      </c>
      <c r="G78" s="1" t="s">
        <v>23</v>
      </c>
    </row>
    <row r="79" spans="2:7" x14ac:dyDescent="0.4">
      <c r="B79" s="1" t="s">
        <v>100</v>
      </c>
      <c r="C79" s="1" t="s">
        <v>8</v>
      </c>
      <c r="D79" s="1" t="s">
        <v>25</v>
      </c>
      <c r="E79" s="1" t="s">
        <v>16</v>
      </c>
      <c r="F79" s="1" t="s">
        <v>11</v>
      </c>
      <c r="G79" s="1" t="s">
        <v>23</v>
      </c>
    </row>
    <row r="80" spans="2:7" x14ac:dyDescent="0.4">
      <c r="B80" s="1" t="s">
        <v>101</v>
      </c>
      <c r="C80" s="1" t="s">
        <v>8</v>
      </c>
      <c r="D80" s="1" t="s">
        <v>15</v>
      </c>
      <c r="E80" s="1" t="s">
        <v>10</v>
      </c>
      <c r="F80" s="1" t="s">
        <v>22</v>
      </c>
      <c r="G80" s="1" t="s">
        <v>17</v>
      </c>
    </row>
    <row r="81" spans="2:7" x14ac:dyDescent="0.4">
      <c r="B81" s="1" t="s">
        <v>102</v>
      </c>
      <c r="C81" s="1" t="s">
        <v>8</v>
      </c>
      <c r="D81" s="1" t="s">
        <v>9</v>
      </c>
      <c r="E81" s="1" t="s">
        <v>10</v>
      </c>
      <c r="F81" s="1" t="s">
        <v>11</v>
      </c>
      <c r="G81" s="1" t="s">
        <v>23</v>
      </c>
    </row>
    <row r="82" spans="2:7" x14ac:dyDescent="0.4">
      <c r="B82" s="1" t="s">
        <v>103</v>
      </c>
      <c r="C82" s="1" t="s">
        <v>14</v>
      </c>
      <c r="D82" s="1" t="s">
        <v>22</v>
      </c>
      <c r="E82" s="1" t="s">
        <v>16</v>
      </c>
      <c r="F82" s="1" t="s">
        <v>11</v>
      </c>
      <c r="G82" s="1" t="s">
        <v>23</v>
      </c>
    </row>
    <row r="83" spans="2:7" x14ac:dyDescent="0.4">
      <c r="B83" s="1" t="s">
        <v>104</v>
      </c>
      <c r="C83" s="1" t="s">
        <v>8</v>
      </c>
      <c r="D83" s="1" t="s">
        <v>25</v>
      </c>
      <c r="E83" s="1" t="s">
        <v>10</v>
      </c>
      <c r="F83" s="1" t="s">
        <v>22</v>
      </c>
      <c r="G83" s="1" t="s">
        <v>45</v>
      </c>
    </row>
    <row r="84" spans="2:7" x14ac:dyDescent="0.4">
      <c r="B84" s="1" t="s">
        <v>105</v>
      </c>
      <c r="C84" s="1" t="s">
        <v>8</v>
      </c>
      <c r="D84" s="1" t="s">
        <v>15</v>
      </c>
      <c r="E84" s="1" t="s">
        <v>16</v>
      </c>
      <c r="F84" s="1" t="s">
        <v>19</v>
      </c>
      <c r="G84" s="1" t="s">
        <v>20</v>
      </c>
    </row>
    <row r="85" spans="2:7" x14ac:dyDescent="0.4">
      <c r="B85" s="1" t="s">
        <v>106</v>
      </c>
      <c r="C85" s="1" t="s">
        <v>14</v>
      </c>
      <c r="D85" s="1" t="s">
        <v>9</v>
      </c>
      <c r="E85" s="1" t="s">
        <v>16</v>
      </c>
      <c r="F85" s="1" t="s">
        <v>11</v>
      </c>
      <c r="G85" s="1" t="s">
        <v>71</v>
      </c>
    </row>
    <row r="86" spans="2:7" x14ac:dyDescent="0.4">
      <c r="B86" s="1" t="s">
        <v>107</v>
      </c>
      <c r="C86" s="1" t="s">
        <v>8</v>
      </c>
      <c r="D86" s="1" t="s">
        <v>22</v>
      </c>
      <c r="E86" s="1" t="s">
        <v>10</v>
      </c>
      <c r="F86" s="1" t="s">
        <v>11</v>
      </c>
      <c r="G86" s="1" t="s">
        <v>23</v>
      </c>
    </row>
    <row r="87" spans="2:7" x14ac:dyDescent="0.4">
      <c r="B87" s="1" t="s">
        <v>108</v>
      </c>
      <c r="C87" s="1" t="s">
        <v>8</v>
      </c>
      <c r="D87" s="1" t="s">
        <v>25</v>
      </c>
      <c r="E87" s="1" t="s">
        <v>28</v>
      </c>
      <c r="F87" s="1" t="s">
        <v>22</v>
      </c>
      <c r="G87" s="1" t="s">
        <v>35</v>
      </c>
    </row>
    <row r="88" spans="2:7" x14ac:dyDescent="0.4">
      <c r="B88" s="1" t="s">
        <v>109</v>
      </c>
      <c r="C88" s="1" t="s">
        <v>14</v>
      </c>
      <c r="D88" s="1" t="s">
        <v>25</v>
      </c>
      <c r="E88" s="1" t="s">
        <v>16</v>
      </c>
      <c r="F88" s="1" t="s">
        <v>11</v>
      </c>
      <c r="G88" s="1" t="s">
        <v>71</v>
      </c>
    </row>
    <row r="89" spans="2:7" x14ac:dyDescent="0.4">
      <c r="B89" s="1" t="s">
        <v>110</v>
      </c>
      <c r="C89" s="1" t="s">
        <v>8</v>
      </c>
      <c r="D89" s="1" t="s">
        <v>15</v>
      </c>
      <c r="E89" s="1" t="s">
        <v>16</v>
      </c>
      <c r="F89" s="1" t="s">
        <v>11</v>
      </c>
      <c r="G89" s="1" t="s">
        <v>31</v>
      </c>
    </row>
    <row r="90" spans="2:7" x14ac:dyDescent="0.4">
      <c r="B90" s="1" t="s">
        <v>111</v>
      </c>
      <c r="C90" s="1" t="s">
        <v>8</v>
      </c>
      <c r="D90" s="1" t="s">
        <v>9</v>
      </c>
      <c r="E90" s="1" t="s">
        <v>16</v>
      </c>
      <c r="F90" s="1" t="s">
        <v>19</v>
      </c>
      <c r="G90" s="1" t="s">
        <v>31</v>
      </c>
    </row>
    <row r="91" spans="2:7" x14ac:dyDescent="0.4">
      <c r="B91" s="1" t="s">
        <v>112</v>
      </c>
      <c r="C91" s="1" t="s">
        <v>8</v>
      </c>
      <c r="D91" s="1" t="s">
        <v>25</v>
      </c>
      <c r="E91" s="1" t="s">
        <v>16</v>
      </c>
      <c r="F91" s="1" t="s">
        <v>11</v>
      </c>
      <c r="G91" s="1" t="s">
        <v>31</v>
      </c>
    </row>
    <row r="92" spans="2:7" x14ac:dyDescent="0.4">
      <c r="B92" s="1" t="s">
        <v>113</v>
      </c>
      <c r="C92" s="1" t="s">
        <v>8</v>
      </c>
      <c r="D92" s="1" t="s">
        <v>9</v>
      </c>
      <c r="E92" s="1" t="s">
        <v>16</v>
      </c>
      <c r="F92" s="1" t="s">
        <v>11</v>
      </c>
      <c r="G92" s="1" t="s">
        <v>23</v>
      </c>
    </row>
    <row r="93" spans="2:7" x14ac:dyDescent="0.4">
      <c r="B93" s="1" t="s">
        <v>114</v>
      </c>
      <c r="C93" s="1" t="s">
        <v>14</v>
      </c>
      <c r="D93" s="1" t="s">
        <v>22</v>
      </c>
      <c r="E93" s="1" t="s">
        <v>10</v>
      </c>
      <c r="F93" s="1" t="s">
        <v>22</v>
      </c>
      <c r="G93" s="1" t="s">
        <v>23</v>
      </c>
    </row>
    <row r="94" spans="2:7" x14ac:dyDescent="0.4">
      <c r="B94" s="1" t="s">
        <v>115</v>
      </c>
      <c r="C94" s="1" t="s">
        <v>8</v>
      </c>
      <c r="D94" s="1" t="s">
        <v>25</v>
      </c>
      <c r="E94" s="1" t="s">
        <v>28</v>
      </c>
      <c r="F94" s="1" t="s">
        <v>11</v>
      </c>
      <c r="G94" s="1" t="s">
        <v>17</v>
      </c>
    </row>
    <row r="95" spans="2:7" x14ac:dyDescent="0.4">
      <c r="B95" s="1" t="s">
        <v>116</v>
      </c>
      <c r="C95" s="1" t="s">
        <v>8</v>
      </c>
      <c r="D95" s="1" t="s">
        <v>25</v>
      </c>
      <c r="E95" s="1" t="s">
        <v>16</v>
      </c>
      <c r="F95" s="1" t="s">
        <v>11</v>
      </c>
      <c r="G95" s="1" t="s">
        <v>71</v>
      </c>
    </row>
    <row r="96" spans="2:7" x14ac:dyDescent="0.4">
      <c r="B96" s="1" t="s">
        <v>117</v>
      </c>
      <c r="C96" s="1" t="s">
        <v>8</v>
      </c>
      <c r="D96" s="1" t="s">
        <v>25</v>
      </c>
      <c r="E96" s="1" t="s">
        <v>16</v>
      </c>
      <c r="F96" s="1" t="s">
        <v>19</v>
      </c>
      <c r="G96" s="1" t="s">
        <v>31</v>
      </c>
    </row>
    <row r="97" spans="2:7" x14ac:dyDescent="0.4">
      <c r="B97" s="1" t="s">
        <v>118</v>
      </c>
      <c r="C97" s="1" t="s">
        <v>8</v>
      </c>
      <c r="D97" s="1" t="s">
        <v>15</v>
      </c>
      <c r="E97" s="1" t="s">
        <v>16</v>
      </c>
      <c r="F97" s="1" t="s">
        <v>19</v>
      </c>
      <c r="G97" s="1" t="s">
        <v>17</v>
      </c>
    </row>
    <row r="98" spans="2:7" x14ac:dyDescent="0.4">
      <c r="B98" s="1" t="s">
        <v>119</v>
      </c>
      <c r="C98" s="1" t="s">
        <v>14</v>
      </c>
      <c r="D98" s="1" t="s">
        <v>9</v>
      </c>
      <c r="E98" s="1" t="s">
        <v>10</v>
      </c>
      <c r="F98" s="1" t="s">
        <v>19</v>
      </c>
      <c r="G98" s="1" t="s">
        <v>20</v>
      </c>
    </row>
    <row r="99" spans="2:7" x14ac:dyDescent="0.4">
      <c r="B99" s="1" t="s">
        <v>120</v>
      </c>
      <c r="C99" s="1" t="s">
        <v>8</v>
      </c>
      <c r="D99" s="1" t="s">
        <v>15</v>
      </c>
      <c r="E99" s="1" t="s">
        <v>28</v>
      </c>
      <c r="F99" s="1" t="s">
        <v>19</v>
      </c>
      <c r="G99" s="1" t="s">
        <v>31</v>
      </c>
    </row>
    <row r="100" spans="2:7" x14ac:dyDescent="0.4">
      <c r="B100" s="1" t="s">
        <v>121</v>
      </c>
      <c r="C100" s="1" t="s">
        <v>14</v>
      </c>
      <c r="D100" s="1" t="s">
        <v>15</v>
      </c>
      <c r="E100" s="1" t="s">
        <v>16</v>
      </c>
      <c r="F100" s="1" t="s">
        <v>19</v>
      </c>
      <c r="G100" s="1" t="s">
        <v>31</v>
      </c>
    </row>
    <row r="101" spans="2:7" x14ac:dyDescent="0.4">
      <c r="B101" s="1" t="s">
        <v>122</v>
      </c>
      <c r="C101" s="1" t="s">
        <v>8</v>
      </c>
      <c r="D101" s="1" t="s">
        <v>9</v>
      </c>
      <c r="E101" s="1" t="s">
        <v>16</v>
      </c>
      <c r="F101" s="1" t="s">
        <v>19</v>
      </c>
      <c r="G101" s="1" t="s">
        <v>31</v>
      </c>
    </row>
    <row r="102" spans="2:7" x14ac:dyDescent="0.4">
      <c r="B102" s="1" t="s">
        <v>123</v>
      </c>
      <c r="C102" s="1" t="s">
        <v>8</v>
      </c>
      <c r="D102" s="1" t="s">
        <v>22</v>
      </c>
      <c r="E102" s="1" t="s">
        <v>10</v>
      </c>
      <c r="F102" s="1" t="s">
        <v>19</v>
      </c>
      <c r="G102" s="1" t="s">
        <v>35</v>
      </c>
    </row>
    <row r="103" spans="2:7" x14ac:dyDescent="0.4">
      <c r="B103" s="1" t="s">
        <v>124</v>
      </c>
      <c r="C103" s="1" t="s">
        <v>14</v>
      </c>
      <c r="D103" s="1" t="s">
        <v>25</v>
      </c>
      <c r="E103" s="1" t="s">
        <v>28</v>
      </c>
      <c r="F103" s="1" t="s">
        <v>11</v>
      </c>
      <c r="G103" s="1" t="s">
        <v>71</v>
      </c>
    </row>
    <row r="104" spans="2:7" x14ac:dyDescent="0.4">
      <c r="B104" s="1" t="s">
        <v>125</v>
      </c>
      <c r="C104" s="1" t="s">
        <v>8</v>
      </c>
      <c r="D104" s="1" t="s">
        <v>15</v>
      </c>
      <c r="E104" s="1" t="s">
        <v>10</v>
      </c>
      <c r="F104" s="1" t="s">
        <v>11</v>
      </c>
      <c r="G104" s="1" t="s">
        <v>31</v>
      </c>
    </row>
    <row r="105" spans="2:7" x14ac:dyDescent="0.4">
      <c r="B105" s="1" t="s">
        <v>126</v>
      </c>
      <c r="C105" s="1" t="s">
        <v>8</v>
      </c>
      <c r="D105" s="1" t="s">
        <v>9</v>
      </c>
      <c r="E105" s="1" t="s">
        <v>16</v>
      </c>
      <c r="F105" s="1" t="s">
        <v>22</v>
      </c>
      <c r="G105" s="1" t="s">
        <v>35</v>
      </c>
    </row>
    <row r="106" spans="2:7" x14ac:dyDescent="0.4">
      <c r="B106" s="1" t="s">
        <v>127</v>
      </c>
      <c r="C106" s="1" t="s">
        <v>14</v>
      </c>
      <c r="D106" s="1" t="s">
        <v>22</v>
      </c>
      <c r="E106" s="1" t="s">
        <v>10</v>
      </c>
      <c r="F106" s="1" t="s">
        <v>19</v>
      </c>
      <c r="G106" s="1" t="s">
        <v>20</v>
      </c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検索">
                <anchor moveWithCells="1">
                  <from>
                    <xdr:col>5</xdr:col>
                    <xdr:colOff>847725</xdr:colOff>
                    <xdr:row>0</xdr:row>
                    <xdr:rowOff>228600</xdr:rowOff>
                  </from>
                  <to>
                    <xdr:col>6</xdr:col>
                    <xdr:colOff>295275</xdr:colOff>
                    <xdr:row>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解除">
                <anchor moveWithCells="1">
                  <from>
                    <xdr:col>6</xdr:col>
                    <xdr:colOff>561975</xdr:colOff>
                    <xdr:row>0</xdr:row>
                    <xdr:rowOff>228600</xdr:rowOff>
                  </from>
                  <to>
                    <xdr:col>7</xdr:col>
                    <xdr:colOff>9525</xdr:colOff>
                    <xdr:row>2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25"/>
  <sheetViews>
    <sheetView workbookViewId="0"/>
  </sheetViews>
  <sheetFormatPr defaultRowHeight="18.75" x14ac:dyDescent="0.4"/>
  <cols>
    <col min="1" max="1" width="1.625" customWidth="1"/>
    <col min="2" max="2" width="5.375" customWidth="1"/>
    <col min="3" max="3" width="11" bestFit="1" customWidth="1"/>
    <col min="4" max="4" width="11.375" bestFit="1" customWidth="1"/>
    <col min="5" max="5" width="4.75" customWidth="1"/>
    <col min="6" max="6" width="7.125" bestFit="1" customWidth="1"/>
    <col min="7" max="7" width="21.25" bestFit="1" customWidth="1"/>
    <col min="9" max="9" width="11" bestFit="1" customWidth="1"/>
    <col min="10" max="10" width="1.625" customWidth="1"/>
    <col min="11" max="11" width="7.125" bestFit="1" customWidth="1"/>
    <col min="12" max="12" width="21.25" bestFit="1" customWidth="1"/>
  </cols>
  <sheetData>
    <row r="2" spans="2:13" ht="25.5" x14ac:dyDescent="0.4">
      <c r="B2" s="7" t="s">
        <v>128</v>
      </c>
      <c r="C2" s="8"/>
      <c r="D2" s="8"/>
      <c r="E2" s="8"/>
      <c r="F2" s="8"/>
      <c r="G2" s="8"/>
      <c r="H2" s="8"/>
      <c r="I2" s="8"/>
    </row>
    <row r="4" spans="2:13" ht="36" x14ac:dyDescent="0.4">
      <c r="B4" s="6" t="s">
        <v>129</v>
      </c>
      <c r="C4" s="2" t="s">
        <v>130</v>
      </c>
      <c r="D4" s="2" t="s">
        <v>131</v>
      </c>
      <c r="E4" s="6" t="s">
        <v>132</v>
      </c>
      <c r="F4" s="2" t="s">
        <v>133</v>
      </c>
      <c r="G4" s="2" t="s">
        <v>134</v>
      </c>
      <c r="H4" s="6" t="s">
        <v>135</v>
      </c>
      <c r="I4" s="6" t="s">
        <v>136</v>
      </c>
      <c r="K4" s="2" t="s">
        <v>137</v>
      </c>
      <c r="L4" s="2" t="s">
        <v>134</v>
      </c>
      <c r="M4" s="6" t="s">
        <v>135</v>
      </c>
    </row>
    <row r="5" spans="2:13" x14ac:dyDescent="0.4">
      <c r="B5" s="1">
        <v>1010</v>
      </c>
      <c r="C5" s="1" t="s">
        <v>138</v>
      </c>
      <c r="D5" s="4">
        <v>41365</v>
      </c>
      <c r="E5" s="1">
        <f t="shared" ref="E5:E25" ca="1" si="0">DATEDIF(D5,TODAY(),"M")</f>
        <v>39</v>
      </c>
      <c r="F5" s="1" t="s">
        <v>139</v>
      </c>
      <c r="G5" s="1" t="str">
        <f>IF(F5="","",VLOOKUP(F5,$K$5:$M$11,2,FALSE))</f>
        <v>海の幸詰め合わせ</v>
      </c>
      <c r="H5" s="5">
        <f>IF(F5="","",VLOOKUP(F5,$K$5:$N$11,3,FALSE))</f>
        <v>3500</v>
      </c>
      <c r="I5" s="5"/>
      <c r="K5" s="1" t="s">
        <v>140</v>
      </c>
      <c r="L5" s="1" t="s">
        <v>141</v>
      </c>
      <c r="M5" s="5">
        <v>5000</v>
      </c>
    </row>
    <row r="6" spans="2:13" x14ac:dyDescent="0.4">
      <c r="B6" s="1">
        <v>1011</v>
      </c>
      <c r="C6" s="1" t="s">
        <v>142</v>
      </c>
      <c r="D6" s="4">
        <v>41426</v>
      </c>
      <c r="E6" s="1">
        <f t="shared" ca="1" si="0"/>
        <v>37</v>
      </c>
      <c r="F6" s="1" t="s">
        <v>143</v>
      </c>
      <c r="G6" s="1" t="str">
        <f t="shared" ref="G6:G25" si="1">IF(F6="","",VLOOKUP(F6,$K$5:$M$11,2,FALSE))</f>
        <v>旬の京野菜</v>
      </c>
      <c r="H6" s="5">
        <f t="shared" ref="H6:H25" si="2">IF(F6="","",VLOOKUP(F6,$K$5:$N$11,3,FALSE))</f>
        <v>3000</v>
      </c>
      <c r="I6" s="5"/>
      <c r="K6" s="1" t="s">
        <v>144</v>
      </c>
      <c r="L6" s="1" t="s">
        <v>145</v>
      </c>
      <c r="M6" s="5">
        <v>2500</v>
      </c>
    </row>
    <row r="7" spans="2:13" x14ac:dyDescent="0.4">
      <c r="B7" s="1">
        <v>1012</v>
      </c>
      <c r="C7" s="1" t="s">
        <v>146</v>
      </c>
      <c r="D7" s="4">
        <v>41557</v>
      </c>
      <c r="E7" s="1">
        <f t="shared" ca="1" si="0"/>
        <v>32</v>
      </c>
      <c r="F7" s="1" t="s">
        <v>143</v>
      </c>
      <c r="G7" s="1" t="str">
        <f t="shared" si="1"/>
        <v>旬の京野菜</v>
      </c>
      <c r="H7" s="5">
        <f t="shared" si="2"/>
        <v>3000</v>
      </c>
      <c r="I7" s="5"/>
      <c r="K7" s="1" t="s">
        <v>139</v>
      </c>
      <c r="L7" s="1" t="s">
        <v>147</v>
      </c>
      <c r="M7" s="5">
        <v>3500</v>
      </c>
    </row>
    <row r="8" spans="2:13" x14ac:dyDescent="0.4">
      <c r="B8" s="1">
        <v>1013</v>
      </c>
      <c r="C8" s="1" t="s">
        <v>148</v>
      </c>
      <c r="D8" s="4">
        <v>41609</v>
      </c>
      <c r="E8" s="1">
        <f t="shared" ca="1" si="0"/>
        <v>31</v>
      </c>
      <c r="F8" s="1" t="s">
        <v>149</v>
      </c>
      <c r="G8" s="1" t="str">
        <f t="shared" si="1"/>
        <v>スイーツコレクション</v>
      </c>
      <c r="H8" s="5">
        <f t="shared" si="2"/>
        <v>2000</v>
      </c>
      <c r="I8" s="5"/>
      <c r="K8" s="1" t="s">
        <v>150</v>
      </c>
      <c r="L8" s="1" t="s">
        <v>151</v>
      </c>
      <c r="M8" s="5">
        <v>3000</v>
      </c>
    </row>
    <row r="9" spans="2:13" x14ac:dyDescent="0.4">
      <c r="B9" s="1">
        <v>1014</v>
      </c>
      <c r="C9" s="1" t="s">
        <v>152</v>
      </c>
      <c r="D9" s="4">
        <v>41659</v>
      </c>
      <c r="E9" s="1">
        <f t="shared" ca="1" si="0"/>
        <v>29</v>
      </c>
      <c r="F9" s="1" t="s">
        <v>153</v>
      </c>
      <c r="G9" s="1" t="str">
        <f t="shared" si="1"/>
        <v>和のスイーツ</v>
      </c>
      <c r="H9" s="5">
        <f t="shared" si="2"/>
        <v>2000</v>
      </c>
      <c r="I9" s="5"/>
      <c r="K9" s="1" t="s">
        <v>149</v>
      </c>
      <c r="L9" s="1" t="s">
        <v>154</v>
      </c>
      <c r="M9" s="5">
        <v>2000</v>
      </c>
    </row>
    <row r="10" spans="2:13" x14ac:dyDescent="0.4">
      <c r="B10" s="1">
        <v>1015</v>
      </c>
      <c r="C10" s="1" t="s">
        <v>155</v>
      </c>
      <c r="D10" s="4">
        <v>41699</v>
      </c>
      <c r="E10" s="1">
        <f t="shared" ca="1" si="0"/>
        <v>28</v>
      </c>
      <c r="F10" s="1" t="s">
        <v>156</v>
      </c>
      <c r="G10" s="1" t="str">
        <f t="shared" si="1"/>
        <v>ご当地ラーメン</v>
      </c>
      <c r="H10" s="5">
        <f t="shared" si="2"/>
        <v>2500</v>
      </c>
      <c r="I10" s="5"/>
      <c r="K10" s="1" t="s">
        <v>153</v>
      </c>
      <c r="L10" s="1" t="s">
        <v>157</v>
      </c>
      <c r="M10" s="5">
        <v>2000</v>
      </c>
    </row>
    <row r="11" spans="2:13" x14ac:dyDescent="0.4">
      <c r="B11" s="1">
        <v>1016</v>
      </c>
      <c r="C11" s="1" t="s">
        <v>158</v>
      </c>
      <c r="D11" s="4">
        <v>41861</v>
      </c>
      <c r="E11" s="1">
        <f t="shared" ca="1" si="0"/>
        <v>22</v>
      </c>
      <c r="F11" s="1" t="s">
        <v>153</v>
      </c>
      <c r="G11" s="1" t="str">
        <f t="shared" si="1"/>
        <v>和のスイーツ</v>
      </c>
      <c r="H11" s="5">
        <f t="shared" si="2"/>
        <v>2000</v>
      </c>
      <c r="I11" s="5"/>
      <c r="K11" s="1" t="s">
        <v>159</v>
      </c>
      <c r="L11" s="1" t="s">
        <v>160</v>
      </c>
      <c r="M11" s="5">
        <v>3000</v>
      </c>
    </row>
    <row r="12" spans="2:13" x14ac:dyDescent="0.4">
      <c r="B12" s="1">
        <v>1017</v>
      </c>
      <c r="C12" s="1" t="s">
        <v>161</v>
      </c>
      <c r="D12" s="4">
        <v>41913</v>
      </c>
      <c r="E12" s="1">
        <f t="shared" ca="1" si="0"/>
        <v>21</v>
      </c>
      <c r="F12" s="1" t="s">
        <v>162</v>
      </c>
      <c r="G12" s="1" t="str">
        <f t="shared" si="1"/>
        <v>旬の京野菜</v>
      </c>
      <c r="H12" s="5">
        <f t="shared" si="2"/>
        <v>3000</v>
      </c>
      <c r="I12" s="5"/>
    </row>
    <row r="13" spans="2:13" x14ac:dyDescent="0.4">
      <c r="B13" s="1">
        <v>1018</v>
      </c>
      <c r="C13" s="1" t="s">
        <v>163</v>
      </c>
      <c r="D13" s="4">
        <v>41974</v>
      </c>
      <c r="E13" s="1">
        <f t="shared" ca="1" si="0"/>
        <v>19</v>
      </c>
      <c r="F13" s="1" t="s">
        <v>149</v>
      </c>
      <c r="G13" s="1" t="str">
        <f t="shared" si="1"/>
        <v>スイーツコレクション</v>
      </c>
      <c r="H13" s="5">
        <f t="shared" si="2"/>
        <v>2000</v>
      </c>
      <c r="I13" s="5"/>
    </row>
    <row r="14" spans="2:13" x14ac:dyDescent="0.4">
      <c r="B14" s="1">
        <v>1019</v>
      </c>
      <c r="C14" s="1" t="s">
        <v>164</v>
      </c>
      <c r="D14" s="4">
        <v>41993</v>
      </c>
      <c r="E14" s="1">
        <f t="shared" ca="1" si="0"/>
        <v>18</v>
      </c>
      <c r="F14" s="1" t="s">
        <v>156</v>
      </c>
      <c r="G14" s="1" t="str">
        <f t="shared" si="1"/>
        <v>ご当地ラーメン</v>
      </c>
      <c r="H14" s="5">
        <f t="shared" si="2"/>
        <v>2500</v>
      </c>
      <c r="I14" s="5"/>
    </row>
    <row r="15" spans="2:13" x14ac:dyDescent="0.4">
      <c r="B15" s="1">
        <v>1020</v>
      </c>
      <c r="C15" s="1" t="s">
        <v>165</v>
      </c>
      <c r="D15" s="4">
        <v>42036</v>
      </c>
      <c r="E15" s="1">
        <f t="shared" ca="1" si="0"/>
        <v>17</v>
      </c>
      <c r="F15" s="1" t="s">
        <v>159</v>
      </c>
      <c r="G15" s="1" t="str">
        <f t="shared" si="1"/>
        <v>フレッシュフルーツ</v>
      </c>
      <c r="H15" s="5">
        <f t="shared" si="2"/>
        <v>3000</v>
      </c>
      <c r="I15" s="5"/>
    </row>
    <row r="16" spans="2:13" x14ac:dyDescent="0.4">
      <c r="B16" s="1">
        <v>1021</v>
      </c>
      <c r="C16" s="1" t="s">
        <v>166</v>
      </c>
      <c r="D16" s="4">
        <v>42036</v>
      </c>
      <c r="E16" s="1">
        <f t="shared" ca="1" si="0"/>
        <v>17</v>
      </c>
      <c r="F16" s="1" t="s">
        <v>156</v>
      </c>
      <c r="G16" s="1" t="str">
        <f t="shared" si="1"/>
        <v>ご当地ラーメン</v>
      </c>
      <c r="H16" s="5">
        <f t="shared" si="2"/>
        <v>2500</v>
      </c>
      <c r="I16" s="5"/>
    </row>
    <row r="17" spans="2:9" x14ac:dyDescent="0.4">
      <c r="B17" s="1">
        <v>1022</v>
      </c>
      <c r="C17" s="1" t="s">
        <v>167</v>
      </c>
      <c r="D17" s="4">
        <v>42073</v>
      </c>
      <c r="E17" s="1">
        <f t="shared" ca="1" si="0"/>
        <v>15</v>
      </c>
      <c r="F17" s="1" t="s">
        <v>153</v>
      </c>
      <c r="G17" s="1" t="str">
        <f t="shared" si="1"/>
        <v>和のスイーツ</v>
      </c>
      <c r="H17" s="5">
        <f t="shared" si="2"/>
        <v>2000</v>
      </c>
      <c r="I17" s="5"/>
    </row>
    <row r="18" spans="2:9" x14ac:dyDescent="0.4">
      <c r="B18" s="1">
        <v>1023</v>
      </c>
      <c r="C18" s="1" t="s">
        <v>168</v>
      </c>
      <c r="D18" s="4">
        <v>42114</v>
      </c>
      <c r="E18" s="1">
        <f t="shared" ca="1" si="0"/>
        <v>14</v>
      </c>
      <c r="F18" s="1" t="s">
        <v>159</v>
      </c>
      <c r="G18" s="1" t="str">
        <f t="shared" si="1"/>
        <v>フレッシュフルーツ</v>
      </c>
      <c r="H18" s="5">
        <f t="shared" si="2"/>
        <v>3000</v>
      </c>
      <c r="I18" s="5"/>
    </row>
    <row r="19" spans="2:9" x14ac:dyDescent="0.4">
      <c r="B19" s="1">
        <v>1024</v>
      </c>
      <c r="C19" s="1" t="s">
        <v>169</v>
      </c>
      <c r="D19" s="4">
        <v>42144</v>
      </c>
      <c r="E19" s="1">
        <f t="shared" ca="1" si="0"/>
        <v>13</v>
      </c>
      <c r="F19" s="1" t="s">
        <v>150</v>
      </c>
      <c r="G19" s="1" t="str">
        <f t="shared" si="1"/>
        <v>旬の京野菜</v>
      </c>
      <c r="H19" s="5">
        <f t="shared" si="2"/>
        <v>3000</v>
      </c>
      <c r="I19" s="5"/>
    </row>
    <row r="20" spans="2:9" x14ac:dyDescent="0.4">
      <c r="B20" s="1">
        <v>1025</v>
      </c>
      <c r="C20" s="1" t="s">
        <v>170</v>
      </c>
      <c r="D20" s="4">
        <v>42226</v>
      </c>
      <c r="E20" s="1">
        <f t="shared" ca="1" si="0"/>
        <v>10</v>
      </c>
      <c r="F20" s="1" t="s">
        <v>139</v>
      </c>
      <c r="G20" s="1" t="str">
        <f t="shared" si="1"/>
        <v>海の幸詰め合わせ</v>
      </c>
      <c r="H20" s="5">
        <f t="shared" si="2"/>
        <v>3500</v>
      </c>
      <c r="I20" s="5"/>
    </row>
    <row r="21" spans="2:9" x14ac:dyDescent="0.4">
      <c r="B21" s="1">
        <v>1026</v>
      </c>
      <c r="C21" s="1" t="s">
        <v>171</v>
      </c>
      <c r="D21" s="4">
        <v>42339</v>
      </c>
      <c r="E21" s="1">
        <f t="shared" ca="1" si="0"/>
        <v>7</v>
      </c>
      <c r="F21" s="1" t="s">
        <v>150</v>
      </c>
      <c r="G21" s="1" t="str">
        <f t="shared" si="1"/>
        <v>旬の京野菜</v>
      </c>
      <c r="H21" s="5">
        <f t="shared" si="2"/>
        <v>3000</v>
      </c>
      <c r="I21" s="5"/>
    </row>
    <row r="22" spans="2:9" x14ac:dyDescent="0.4">
      <c r="B22" s="1">
        <v>1027</v>
      </c>
      <c r="C22" s="1" t="s">
        <v>172</v>
      </c>
      <c r="D22" s="4">
        <v>42401</v>
      </c>
      <c r="E22" s="1">
        <f t="shared" ca="1" si="0"/>
        <v>5</v>
      </c>
      <c r="F22" s="1" t="s">
        <v>149</v>
      </c>
      <c r="G22" s="1" t="str">
        <f t="shared" si="1"/>
        <v>スイーツコレクション</v>
      </c>
      <c r="H22" s="5">
        <f t="shared" si="2"/>
        <v>2000</v>
      </c>
      <c r="I22" s="5"/>
    </row>
    <row r="23" spans="2:9" x14ac:dyDescent="0.4">
      <c r="B23" s="1">
        <v>1028</v>
      </c>
      <c r="C23" s="1" t="s">
        <v>173</v>
      </c>
      <c r="D23" s="4">
        <v>42430</v>
      </c>
      <c r="E23" s="1">
        <f t="shared" ca="1" si="0"/>
        <v>4</v>
      </c>
      <c r="F23" s="1" t="s">
        <v>174</v>
      </c>
      <c r="G23" s="1" t="str">
        <f t="shared" si="1"/>
        <v>スイーツコレクション</v>
      </c>
      <c r="H23" s="5">
        <f t="shared" si="2"/>
        <v>2000</v>
      </c>
      <c r="I23" s="5"/>
    </row>
    <row r="24" spans="2:9" x14ac:dyDescent="0.4">
      <c r="B24" s="1">
        <v>1029</v>
      </c>
      <c r="C24" s="1" t="s">
        <v>175</v>
      </c>
      <c r="D24" s="4">
        <v>42410</v>
      </c>
      <c r="E24" s="1">
        <f t="shared" ca="1" si="0"/>
        <v>4</v>
      </c>
      <c r="F24" s="1" t="s">
        <v>150</v>
      </c>
      <c r="G24" s="1" t="str">
        <f t="shared" si="1"/>
        <v>旬の京野菜</v>
      </c>
      <c r="H24" s="5">
        <f t="shared" si="2"/>
        <v>3000</v>
      </c>
      <c r="I24" s="5"/>
    </row>
    <row r="25" spans="2:9" x14ac:dyDescent="0.4">
      <c r="B25" s="1">
        <v>1030</v>
      </c>
      <c r="C25" s="1" t="s">
        <v>176</v>
      </c>
      <c r="D25" s="4">
        <v>42439</v>
      </c>
      <c r="E25" s="1">
        <f t="shared" ca="1" si="0"/>
        <v>3</v>
      </c>
      <c r="F25" s="1" t="s">
        <v>149</v>
      </c>
      <c r="G25" s="1" t="str">
        <f t="shared" si="1"/>
        <v>スイーツコレクション</v>
      </c>
      <c r="H25" s="5">
        <f t="shared" si="2"/>
        <v>2000</v>
      </c>
      <c r="I25" s="5"/>
    </row>
  </sheetData>
  <phoneticPr fontId="2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アンケート</vt:lpstr>
      <vt:lpstr>お客様リスト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2016-03-29T07:36:48Z</dcterms:created>
  <dcterms:modified xsi:type="dcterms:W3CDTF">2016-07-04T07:58:40Z</dcterms:modified>
</cp:coreProperties>
</file>