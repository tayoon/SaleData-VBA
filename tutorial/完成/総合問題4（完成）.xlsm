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富士太郎\Desktop\Excel2016マクロVBA\完成\"/>
    </mc:Choice>
  </mc:AlternateContent>
  <bookViews>
    <workbookView xWindow="0" yWindow="0" windowWidth="15360" windowHeight="7530"/>
  </bookViews>
  <sheets>
    <sheet name="収益比較" sheetId="1" r:id="rId1"/>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 i="1" l="1"/>
  <c r="H11" i="1"/>
  <c r="D9" i="1"/>
  <c r="H9" i="1"/>
  <c r="D10" i="1"/>
  <c r="D11" i="1"/>
</calcChain>
</file>

<file path=xl/sharedStrings.xml><?xml version="1.0" encoding="utf-8"?>
<sst xmlns="http://schemas.openxmlformats.org/spreadsheetml/2006/main" count="23" uniqueCount="12">
  <si>
    <t>マンション収益の比較</t>
    <rPh sb="5" eb="7">
      <t>シュウエキ</t>
    </rPh>
    <rPh sb="8" eb="10">
      <t>ヒカク</t>
    </rPh>
    <phoneticPr fontId="1"/>
  </si>
  <si>
    <t>不動産投資のため賃貸マンションの購入を検討しています。それぞれの表面利回りを比較してみましょう。</t>
    <rPh sb="0" eb="3">
      <t>フドウサン</t>
    </rPh>
    <rPh sb="3" eb="5">
      <t>トウシ</t>
    </rPh>
    <rPh sb="8" eb="10">
      <t>チンタイ</t>
    </rPh>
    <rPh sb="16" eb="18">
      <t>コウニュウ</t>
    </rPh>
    <rPh sb="19" eb="21">
      <t>ケントウ</t>
    </rPh>
    <rPh sb="32" eb="34">
      <t>ヒョウメン</t>
    </rPh>
    <rPh sb="34" eb="36">
      <t>リマワ</t>
    </rPh>
    <rPh sb="38" eb="40">
      <t>ヒカク</t>
    </rPh>
    <phoneticPr fontId="1"/>
  </si>
  <si>
    <t>販売価格</t>
    <rPh sb="0" eb="2">
      <t>ハンバイ</t>
    </rPh>
    <rPh sb="2" eb="4">
      <t>カカク</t>
    </rPh>
    <phoneticPr fontId="1"/>
  </si>
  <si>
    <t>万円の物件</t>
    <rPh sb="0" eb="2">
      <t>マンエン</t>
    </rPh>
    <rPh sb="3" eb="5">
      <t>ブッケン</t>
    </rPh>
    <phoneticPr fontId="1"/>
  </si>
  <si>
    <t>家賃</t>
    <rPh sb="0" eb="2">
      <t>ヤチン</t>
    </rPh>
    <phoneticPr fontId="1"/>
  </si>
  <si>
    <t>表面利回り</t>
    <rPh sb="0" eb="2">
      <t>ヒョウメン</t>
    </rPh>
    <rPh sb="2" eb="4">
      <t>リマワ</t>
    </rPh>
    <phoneticPr fontId="1"/>
  </si>
  <si>
    <t>万円の場合　→</t>
    <rPh sb="0" eb="2">
      <t>マンエン</t>
    </rPh>
    <rPh sb="3" eb="5">
      <t>バアイ</t>
    </rPh>
    <phoneticPr fontId="1"/>
  </si>
  <si>
    <t>％</t>
    <phoneticPr fontId="1"/>
  </si>
  <si>
    <t>％</t>
    <phoneticPr fontId="1"/>
  </si>
  <si>
    <t>％</t>
    <phoneticPr fontId="1"/>
  </si>
  <si>
    <t>％</t>
    <phoneticPr fontId="1"/>
  </si>
  <si>
    <t>※表面利回りとは、不動産購入時にかかる費用や購入後にかかる費用を除いた利回りのことです。</t>
    <rPh sb="1" eb="3">
      <t>ヒョウメン</t>
    </rPh>
    <rPh sb="3" eb="5">
      <t>リマワ</t>
    </rPh>
    <rPh sb="9" eb="12">
      <t>フドウサン</t>
    </rPh>
    <rPh sb="12" eb="14">
      <t>コウニュウ</t>
    </rPh>
    <rPh sb="14" eb="15">
      <t>ジ</t>
    </rPh>
    <rPh sb="19" eb="21">
      <t>ヒヨウ</t>
    </rPh>
    <rPh sb="22" eb="25">
      <t>コウニュウゴ</t>
    </rPh>
    <rPh sb="29" eb="31">
      <t>ヒヨウ</t>
    </rPh>
    <rPh sb="32" eb="33">
      <t>ノゾ</t>
    </rPh>
    <rPh sb="35" eb="37">
      <t>リマワ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</si>
</sst>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游ゴシック"/>
      <family val="2"/>
      <charset val="128"/>
      <scheme val="minor"/>
    </font>
    <font>
      <sz val="6"/>
      <name val="游ゴシック"/>
      <family val="2"/>
      <charset val="128"/>
      <scheme val="minor"/>
    </font>
    <font>
      <sz val="10"/>
      <color theme="1"/>
      <name val="游ゴシック"/>
      <family val="2"/>
      <charset val="128"/>
      <scheme val="minor"/>
    </font>
    <font>
      <b/>
      <sz val="16"/>
      <color theme="1"/>
      <name val="游ゴシック"/>
      <family val="3"/>
      <charset val="128"/>
      <scheme val="minor"/>
    </font>
    <font>
      <b/>
      <sz val="11"/>
      <color theme="1"/>
      <name val="游ゴシック"/>
      <family val="3"/>
      <charset val="128"/>
      <scheme val="minor"/>
    </font>
  </fonts>
  <fills count="6">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8">
    <xf numFmtId="0" fontId="0" fillId="0" borderId="0" xfId="0">
      <alignment vertical="center"/>
    </xf>
    <xf numFmtId="0" fontId="2" fillId="0" borderId="0" xfId="0" applyFont="1">
      <alignment vertical="center"/>
    </xf>
    <xf numFmtId="0" fontId="3" fillId="0" borderId="0" xfId="0" applyFont="1">
      <alignment vertical="center"/>
    </xf>
    <xf numFmtId="0" fontId="0" fillId="2" borderId="1" xfId="0" applyFill="1" applyBorder="1">
      <alignment vertical="center"/>
    </xf>
    <xf numFmtId="0" fontId="0" fillId="3" borderId="1" xfId="0" applyFill="1" applyBorder="1">
      <alignment vertical="center"/>
    </xf>
    <xf numFmtId="0" fontId="0" fillId="0" borderId="0" xfId="0" applyAlignment="1">
      <alignment horizontal="center" vertical="center"/>
    </xf>
    <xf numFmtId="0" fontId="4" fillId="4" borderId="1" xfId="0" applyFont="1" applyFill="1" applyBorder="1">
      <alignment vertical="center"/>
    </xf>
    <xf numFmtId="0" fontId="4" fillId="5" borderId="1" xfId="0" applyFont="1"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3"/>
  <sheetViews>
    <sheetView tabSelected="1" workbookViewId="0"/>
  </sheetViews>
  <sheetFormatPr defaultRowHeight="18.75" x14ac:dyDescent="0.4"/>
  <cols>
    <col min="1" max="1" width="1.625" customWidth="1"/>
    <col min="3" max="3" width="15.125" bestFit="1" customWidth="1"/>
    <col min="7" max="7" width="15.125" bestFit="1" customWidth="1"/>
  </cols>
  <sheetData>
    <row r="1" spans="2:9" ht="25.5" x14ac:dyDescent="0.4">
      <c r="B1" s="2" t="s">
        <v>0</v>
      </c>
    </row>
    <row r="3" spans="2:9" x14ac:dyDescent="0.4">
      <c r="B3" t="s">
        <v>1</v>
      </c>
    </row>
    <row r="5" spans="2:9" x14ac:dyDescent="0.4">
      <c r="B5" s="5" t="s">
        <v>2</v>
      </c>
      <c r="F5" s="5" t="s">
        <v>2</v>
      </c>
    </row>
    <row r="6" spans="2:9" x14ac:dyDescent="0.4">
      <c r="B6" s="6">
        <v>2000</v>
      </c>
      <c r="C6" t="s">
        <v>3</v>
      </c>
      <c r="F6" s="7">
        <v>3500</v>
      </c>
      <c r="G6" t="s">
        <v>3</v>
      </c>
    </row>
    <row r="8" spans="2:9" x14ac:dyDescent="0.4">
      <c r="B8" s="5" t="s">
        <v>4</v>
      </c>
      <c r="D8" s="5" t="s">
        <v>5</v>
      </c>
      <c r="F8" s="5" t="s">
        <v>4</v>
      </c>
      <c r="H8" s="5" t="s">
        <v>5</v>
      </c>
    </row>
    <row r="9" spans="2:9" x14ac:dyDescent="0.4">
      <c r="B9" s="4">
        <v>7</v>
      </c>
      <c r="C9" t="s">
        <v>6</v>
      </c>
      <c r="D9" s="4">
        <f>表面利回り(B9,$B$6)</f>
        <v>4.2</v>
      </c>
      <c r="E9" t="s">
        <v>7</v>
      </c>
      <c r="F9" s="3">
        <v>11</v>
      </c>
      <c r="G9" t="s">
        <v>6</v>
      </c>
      <c r="H9" s="3">
        <f>表面利回り(F9,$F$6)</f>
        <v>3.8</v>
      </c>
      <c r="I9" t="s">
        <v>8</v>
      </c>
    </row>
    <row r="10" spans="2:9" x14ac:dyDescent="0.4">
      <c r="B10" s="4">
        <v>8</v>
      </c>
      <c r="C10" t="s">
        <v>6</v>
      </c>
      <c r="D10" s="4">
        <f t="shared" ref="D10:D11" si="0">表面利回り(B10,$B$6)</f>
        <v>4.8</v>
      </c>
      <c r="E10" t="s">
        <v>9</v>
      </c>
      <c r="F10" s="3">
        <v>12</v>
      </c>
      <c r="G10" t="s">
        <v>6</v>
      </c>
      <c r="H10" s="3">
        <f t="shared" ref="H10:H11" si="1">表面利回り(F10,$F$6)</f>
        <v>4.0999999999999996</v>
      </c>
      <c r="I10" t="s">
        <v>10</v>
      </c>
    </row>
    <row r="11" spans="2:9" x14ac:dyDescent="0.4">
      <c r="B11" s="4">
        <v>9</v>
      </c>
      <c r="C11" t="s">
        <v>6</v>
      </c>
      <c r="D11" s="4">
        <f t="shared" si="0"/>
        <v>5.4</v>
      </c>
      <c r="E11" t="s">
        <v>8</v>
      </c>
      <c r="F11" s="3">
        <v>13</v>
      </c>
      <c r="G11" t="s">
        <v>6</v>
      </c>
      <c r="H11" s="3">
        <f t="shared" si="1"/>
        <v>4.5</v>
      </c>
      <c r="I11" t="s">
        <v>7</v>
      </c>
    </row>
    <row r="13" spans="2:9" x14ac:dyDescent="0.4">
      <c r="B13" s="1" t="s">
        <v>11</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収益比較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2016-03-31T06:45:17Z</dcterms:created>
  <dcterms:modified xsi:type="dcterms:W3CDTF">2016-07-04T08:01:03Z</dcterms:modified>
</cp:coreProperties>
</file>