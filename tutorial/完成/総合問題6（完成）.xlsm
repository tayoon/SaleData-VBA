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完成\"/>
    </mc:Choice>
  </mc:AlternateContent>
  <bookViews>
    <workbookView xWindow="0" yWindow="0" windowWidth="15360" windowHeight="7545"/>
  </bookViews>
  <sheets>
    <sheet name="見積書" sheetId="1" r:id="rId1"/>
    <sheet name="リスト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1" l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15" i="1"/>
  <c r="G29" i="1" l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H4" i="1"/>
  <c r="D8" i="1" s="1"/>
  <c r="G30" i="1" l="1"/>
  <c r="G31" i="1" s="1"/>
  <c r="G32" i="1" l="1"/>
  <c r="F12" i="1" s="1"/>
</calcChain>
</file>

<file path=xl/sharedStrings.xml><?xml version="1.0" encoding="utf-8"?>
<sst xmlns="http://schemas.openxmlformats.org/spreadsheetml/2006/main" count="41" uniqueCount="38">
  <si>
    <t>御　見　積　書</t>
    <rPh sb="0" eb="1">
      <t>ゴ</t>
    </rPh>
    <rPh sb="2" eb="3">
      <t>ミ</t>
    </rPh>
    <rPh sb="4" eb="5">
      <t>セキ</t>
    </rPh>
    <rPh sb="6" eb="7">
      <t>ショ</t>
    </rPh>
    <phoneticPr fontId="2"/>
  </si>
  <si>
    <t>株式会社FUJIBOOK</t>
    <rPh sb="0" eb="4">
      <t>カブシキガイシャ</t>
    </rPh>
    <phoneticPr fontId="2"/>
  </si>
  <si>
    <t>下記のとおり、お見積り申し上げます。</t>
    <rPh sb="0" eb="2">
      <t>カキ</t>
    </rPh>
    <rPh sb="8" eb="10">
      <t>ミツモ</t>
    </rPh>
    <rPh sb="11" eb="12">
      <t>モウ</t>
    </rPh>
    <rPh sb="13" eb="14">
      <t>ア</t>
    </rPh>
    <phoneticPr fontId="2"/>
  </si>
  <si>
    <t xml:space="preserve">〒101-0021 </t>
    <phoneticPr fontId="2"/>
  </si>
  <si>
    <t>納品日：</t>
    <rPh sb="0" eb="3">
      <t>ノウヒンビ</t>
    </rPh>
    <phoneticPr fontId="2"/>
  </si>
  <si>
    <t>東京都千代田区外神田X-X-X</t>
    <rPh sb="0" eb="3">
      <t>トウキョウト</t>
    </rPh>
    <rPh sb="3" eb="7">
      <t>チヨダク</t>
    </rPh>
    <rPh sb="7" eb="10">
      <t>ソトカンダ</t>
    </rPh>
    <phoneticPr fontId="2"/>
  </si>
  <si>
    <t>取引方法：</t>
    <rPh sb="0" eb="2">
      <t>トリヒキ</t>
    </rPh>
    <rPh sb="2" eb="4">
      <t>ホウホウ</t>
    </rPh>
    <phoneticPr fontId="2"/>
  </si>
  <si>
    <t>月末締め翌月払い</t>
    <rPh sb="0" eb="2">
      <t>ゲツマツ</t>
    </rPh>
    <rPh sb="2" eb="3">
      <t>ジ</t>
    </rPh>
    <rPh sb="4" eb="6">
      <t>ヨクゲツ</t>
    </rPh>
    <rPh sb="6" eb="7">
      <t>バラ</t>
    </rPh>
    <phoneticPr fontId="2"/>
  </si>
  <si>
    <t>Tel 03-5678-XXXX</t>
    <phoneticPr fontId="2"/>
  </si>
  <si>
    <t>Fax 03-5678-XXXX</t>
    <phoneticPr fontId="2"/>
  </si>
  <si>
    <t>No.</t>
    <phoneticPr fontId="2"/>
  </si>
  <si>
    <t>型番</t>
    <rPh sb="0" eb="2">
      <t>カタバン</t>
    </rPh>
    <phoneticPr fontId="2"/>
  </si>
  <si>
    <t>テキスト名</t>
    <rPh sb="4" eb="5">
      <t>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</si>
  <si>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</si>
  <si>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</si>
  <si>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</si>
  <si>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備考</t>
    <rPh sb="0" eb="2">
      <t>ビコウ</t>
    </rPh>
    <phoneticPr fontId="2"/>
  </si>
  <si>
    <t>金額合計</t>
    <rPh sb="0" eb="2">
      <t>キンガク</t>
    </rPh>
    <rPh sb="2" eb="4">
      <t>ゴウケイ</t>
    </rPh>
    <phoneticPr fontId="2"/>
  </si>
  <si>
    <t>消費税</t>
    <rPh sb="0" eb="3">
      <t>ショウヒゼイ</t>
    </rPh>
    <phoneticPr fontId="2"/>
  </si>
  <si>
    <t>見積合計</t>
    <rPh sb="0" eb="2">
      <t>ミツモリ</t>
    </rPh>
    <rPh sb="2" eb="4">
      <t>ゴウケイ</t>
    </rPh>
    <phoneticPr fontId="2"/>
  </si>
  <si>
    <t>商品リスト</t>
    <rPh sb="0" eb="2">
      <t>ショウヒン</t>
    </rPh>
    <phoneticPr fontId="2"/>
  </si>
  <si>
    <t>*</t>
    <phoneticPr fontId="2"/>
  </si>
  <si>
    <t>***以下余白****</t>
    <rPh sb="3" eb="5">
      <t>イカ</t>
    </rPh>
    <rPh sb="5" eb="7">
      <t>ヨハク</t>
    </rPh>
    <phoneticPr fontId="2"/>
  </si>
  <si>
    <t>-</t>
    <phoneticPr fontId="2"/>
  </si>
  <si>
    <t>Windows 10　入門</t>
    <rPh sb="11" eb="13">
      <t>ニュウモン</t>
    </rPh>
    <phoneticPr fontId="2"/>
  </si>
  <si>
    <t>Windows 10　基礎</t>
    <rPh sb="11" eb="13">
      <t>キソ</t>
    </rPh>
    <phoneticPr fontId="2"/>
  </si>
  <si>
    <t>Windows 10　応用</t>
    <rPh sb="11" eb="13">
      <t>オウヨウ</t>
    </rPh>
    <phoneticPr fontId="2"/>
  </si>
  <si>
    <t>Word 2016　基礎</t>
    <rPh sb="10" eb="12">
      <t>キソ</t>
    </rPh>
    <phoneticPr fontId="2"/>
  </si>
  <si>
    <t>Word 2016　応用</t>
    <rPh sb="10" eb="12">
      <t>オウヨウ</t>
    </rPh>
    <phoneticPr fontId="2"/>
  </si>
  <si>
    <t>Excel 2016　基礎</t>
    <rPh sb="11" eb="13">
      <t>キソ</t>
    </rPh>
    <phoneticPr fontId="2"/>
  </si>
  <si>
    <t>Excel 2016　応用</t>
    <rPh sb="11" eb="13">
      <t>オウヨウ</t>
    </rPh>
    <phoneticPr fontId="2"/>
  </si>
  <si>
    <t>Excel 2016　上級</t>
    <rPh sb="11" eb="13">
      <t>ジョウキュウ</t>
    </rPh>
    <phoneticPr fontId="2"/>
  </si>
  <si>
    <t>Access 2016　基礎</t>
    <rPh sb="12" eb="14">
      <t>キソ</t>
    </rPh>
    <phoneticPr fontId="2"/>
  </si>
  <si>
    <t>Access 2016　応用</t>
    <rPh sb="12" eb="14">
      <t>オウヨウ</t>
    </rPh>
    <phoneticPr fontId="2"/>
  </si>
  <si>
    <t>Access 2016　上級</t>
    <rPh sb="12" eb="14">
      <t>ジョウキュウ</t>
    </rPh>
    <phoneticPr fontId="2"/>
  </si>
  <si>
    <t>PowerPoint 2016　基礎</t>
    <rPh sb="16" eb="18">
      <t>キソ</t>
    </rPh>
    <phoneticPr fontId="2"/>
  </si>
  <si>
    <t>PowerPoint 2016　応用</t>
    <rPh sb="16" eb="18">
      <t>オウヨウ</t>
    </rPh>
    <phoneticPr fontId="2"/>
  </si>
  <si>
    <t>備考</t>
    <rPh sb="0" eb="2">
      <t>ビコウ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</si>
</sst>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税込合計金額　&quot;&quot;¥&quot;#,##0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u val="doubleAccounting"/>
      <sz val="16"/>
      <color theme="1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  <font>
      <b/>
      <sz val="10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31" fontId="0" fillId="0" borderId="0" xfId="0" applyNumberFormat="1">
      <alignment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>
      <alignment vertical="center"/>
    </xf>
    <xf numFmtId="38" fontId="0" fillId="0" borderId="1" xfId="1" applyFont="1" applyBorder="1">
      <alignment vertical="center"/>
    </xf>
    <xf numFmtId="0" fontId="7" fillId="0" borderId="0" xfId="0" applyFont="1" applyAlignment="1">
      <alignment horizontal="centerContinuous" vertical="center"/>
    </xf>
    <xf numFmtId="0" fontId="5" fillId="0" borderId="0" xfId="0" applyFont="1">
      <alignment vertical="center"/>
    </xf>
    <xf numFmtId="31" fontId="0" fillId="0" borderId="0" xfId="0" applyNumberFormat="1" applyAlignment="1">
      <alignment horizontal="left" vertical="center"/>
    </xf>
    <xf numFmtId="0" fontId="6" fillId="2" borderId="3" xfId="0" applyFont="1" applyFill="1" applyBorder="1" applyAlignment="1">
      <alignment vertical="center"/>
    </xf>
    <xf numFmtId="9" fontId="6" fillId="2" borderId="2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4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vertical="top"/>
    </xf>
    <xf numFmtId="176" fontId="4" fillId="0" borderId="0" xfId="0" applyNumberFormat="1" applyFont="1" applyAlignment="1">
      <alignment horizontal="right" vertical="center"/>
    </xf>
    <xf numFmtId="38" fontId="0" fillId="0" borderId="3" xfId="1" applyFont="1" applyBorder="1">
      <alignment vertical="center"/>
    </xf>
    <xf numFmtId="38" fontId="0" fillId="0" borderId="2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162948</xdr:colOff>
      <xdr:row>0</xdr:row>
      <xdr:rowOff>31734</xdr:rowOff>
    </xdr:from>
    <xdr:ext cx="759952" cy="663592"/>
    <xdr:sp macro="" textlink="">
      <xdr:nvSpPr>
        <xdr:cNvPr id="2" name="正方形/長方形 1"/>
        <xdr:cNvSpPr/>
      </xdr:nvSpPr>
      <xdr:spPr>
        <a:xfrm>
          <a:off x="4992123" y="31734"/>
          <a:ext cx="759952" cy="66359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altLang="ja-JP" sz="4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FB</a:t>
          </a:r>
          <a:endParaRPr lang="ja-JP" altLang="en-US" sz="4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11</xdr:row>
          <xdr:rowOff>85725</xdr:rowOff>
        </xdr:from>
        <xdr:to>
          <xdr:col>10</xdr:col>
          <xdr:colOff>0</xdr:colOff>
          <xdr:row>12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3</xdr:row>
          <xdr:rowOff>228600</xdr:rowOff>
        </xdr:from>
        <xdr:to>
          <xdr:col>10</xdr:col>
          <xdr:colOff>0</xdr:colOff>
          <xdr:row>4</xdr:row>
          <xdr:rowOff>352425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顧客名入力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5</xdr:row>
          <xdr:rowOff>57150</xdr:rowOff>
        </xdr:from>
        <xdr:to>
          <xdr:col>10</xdr:col>
          <xdr:colOff>0</xdr:colOff>
          <xdr:row>6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7</xdr:row>
          <xdr:rowOff>66675</xdr:rowOff>
        </xdr:from>
        <xdr:to>
          <xdr:col>10</xdr:col>
          <xdr:colOff>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342900</xdr:colOff>
          <xdr:row>0</xdr:row>
          <xdr:rowOff>209550</xdr:rowOff>
        </xdr:from>
        <xdr:to>
          <xdr:col>24</xdr:col>
          <xdr:colOff>447675</xdr:colOff>
          <xdr:row>2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顧客名入力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9</xdr:row>
          <xdr:rowOff>76200</xdr:rowOff>
        </xdr:from>
        <xdr:to>
          <xdr:col>10</xdr:col>
          <xdr:colOff>0</xdr:colOff>
          <xdr:row>10</xdr:row>
          <xdr:rowOff>200025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プレビュー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981075</xdr:colOff>
          <xdr:row>0</xdr:row>
          <xdr:rowOff>200025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リストを閉じる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H38"/>
  <sheetViews>
    <sheetView tabSelected="1" zoomScaleNormal="100" workbookViewId="0"/>
  </sheetViews>
  <sheetFormatPr defaultRowHeight="18.75" x14ac:dyDescent="0.4"/>
  <cols>
    <col min="1" max="1" width="1.625" customWidth="1"/>
    <col min="2" max="2" width="4.625" customWidth="1"/>
    <col min="3" max="3" width="6.625" customWidth="1"/>
    <col min="4" max="4" width="28.625" customWidth="1"/>
    <col min="5" max="6" width="6.625" customWidth="1"/>
    <col min="7" max="7" width="12.625" customWidth="1"/>
    <col min="8" max="8" width="14.625" customWidth="1"/>
  </cols>
  <sheetData>
    <row r="2" spans="2:8" ht="18.75" customHeight="1" x14ac:dyDescent="0.4">
      <c r="B2" s="13"/>
      <c r="C2" s="13"/>
      <c r="D2" s="13"/>
      <c r="E2" s="13"/>
    </row>
    <row r="3" spans="2:8" ht="18.75" customHeight="1" x14ac:dyDescent="0.4">
      <c r="B3" s="13"/>
      <c r="C3" s="13"/>
      <c r="D3" s="13"/>
      <c r="E3" s="13"/>
    </row>
    <row r="4" spans="2:8" x14ac:dyDescent="0.4">
      <c r="H4" s="1">
        <f ca="1">TODAY()</f>
        <v>42555</v>
      </c>
    </row>
    <row r="5" spans="2:8" ht="33" x14ac:dyDescent="0.4">
      <c r="B5" s="8" t="s">
        <v>0</v>
      </c>
      <c r="C5" s="2"/>
      <c r="D5" s="2"/>
      <c r="E5" s="2"/>
      <c r="F5" s="2"/>
      <c r="G5" s="2"/>
      <c r="H5" s="2"/>
    </row>
    <row r="6" spans="2:8" x14ac:dyDescent="0.4">
      <c r="H6" s="3" t="s">
        <v>1</v>
      </c>
    </row>
    <row r="7" spans="2:8" x14ac:dyDescent="0.4">
      <c r="B7" t="s">
        <v>2</v>
      </c>
      <c r="H7" s="3" t="s">
        <v>3</v>
      </c>
    </row>
    <row r="8" spans="2:8" x14ac:dyDescent="0.4">
      <c r="B8" t="s">
        <v>4</v>
      </c>
      <c r="D8" s="10">
        <f ca="1">H4+7</f>
        <v>42562</v>
      </c>
      <c r="H8" s="3" t="s">
        <v>5</v>
      </c>
    </row>
    <row r="9" spans="2:8" x14ac:dyDescent="0.4">
      <c r="B9" t="s">
        <v>6</v>
      </c>
      <c r="D9" t="s">
        <v>7</v>
      </c>
      <c r="H9" s="3" t="s">
        <v>8</v>
      </c>
    </row>
    <row r="10" spans="2:8" x14ac:dyDescent="0.4">
      <c r="H10" s="3" t="s">
        <v>9</v>
      </c>
    </row>
    <row r="12" spans="2:8" ht="27.75" x14ac:dyDescent="0.4">
      <c r="F12" s="23">
        <f>G32</f>
        <v>0</v>
      </c>
      <c r="G12" s="23"/>
      <c r="H12" s="23"/>
    </row>
    <row r="14" spans="2:8" x14ac:dyDescent="0.4">
      <c r="B14" s="5" t="s">
        <v>10</v>
      </c>
      <c r="C14" s="5" t="s">
        <v>11</v>
      </c>
      <c r="D14" s="5" t="s">
        <v>12</v>
      </c>
      <c r="E14" s="5" t="s">
        <v>13</v>
      </c>
      <c r="F14" s="5" t="s">
        <v>14</v>
      </c>
      <c r="G14" s="5" t="s">
        <v>15</v>
      </c>
      <c r="H14" s="5" t="s">
        <v>16</v>
      </c>
    </row>
    <row r="15" spans="2:8" x14ac:dyDescent="0.4">
      <c r="B15" s="4">
        <v>1</v>
      </c>
      <c r="C15" s="4"/>
      <c r="D15" s="4" t="str">
        <f>IF(C15="","",VLOOKUP(C15,リスト!$B$5:$D$18,2,FALSE))</f>
        <v/>
      </c>
      <c r="E15" s="7" t="str">
        <f>IF(C15="","",VLOOKUP(C15,リスト!$B$5:$D$18,3,FALSE))</f>
        <v/>
      </c>
      <c r="F15" s="4"/>
      <c r="G15" s="7" t="str">
        <f>IF(E15="","",IF(E15="-","",E15*F15))</f>
        <v/>
      </c>
      <c r="H15" s="4"/>
    </row>
    <row r="16" spans="2:8" x14ac:dyDescent="0.4">
      <c r="B16" s="4">
        <v>2</v>
      </c>
      <c r="C16" s="4"/>
      <c r="D16" s="4" t="str">
        <f>IF(C16="","",VLOOKUP(C16,リスト!$B$5:$D$18,2,FALSE))</f>
        <v/>
      </c>
      <c r="E16" s="7" t="str">
        <f>IF(C16="","",VLOOKUP(C16,リスト!$B$5:$D$18,3,FALSE))</f>
        <v/>
      </c>
      <c r="F16" s="4"/>
      <c r="G16" s="7" t="str">
        <f t="shared" ref="G16:G29" si="0">IF(E16="","",IF(E16="-","",E16*F16))</f>
        <v/>
      </c>
      <c r="H16" s="4"/>
    </row>
    <row r="17" spans="2:8" x14ac:dyDescent="0.4">
      <c r="B17" s="4">
        <v>3</v>
      </c>
      <c r="C17" s="4"/>
      <c r="D17" s="4" t="str">
        <f>IF(C17="","",VLOOKUP(C17,リスト!$B$5:$D$18,2,FALSE))</f>
        <v/>
      </c>
      <c r="E17" s="7" t="str">
        <f>IF(C17="","",VLOOKUP(C17,リスト!$B$5:$D$18,3,FALSE))</f>
        <v/>
      </c>
      <c r="F17" s="4"/>
      <c r="G17" s="7" t="str">
        <f t="shared" si="0"/>
        <v/>
      </c>
      <c r="H17" s="4"/>
    </row>
    <row r="18" spans="2:8" x14ac:dyDescent="0.4">
      <c r="B18" s="4">
        <v>4</v>
      </c>
      <c r="C18" s="4"/>
      <c r="D18" s="4" t="str">
        <f>IF(C18="","",VLOOKUP(C18,リスト!$B$5:$D$18,2,FALSE))</f>
        <v/>
      </c>
      <c r="E18" s="7" t="str">
        <f>IF(C18="","",VLOOKUP(C18,リスト!$B$5:$D$18,3,FALSE))</f>
        <v/>
      </c>
      <c r="F18" s="4"/>
      <c r="G18" s="7" t="str">
        <f t="shared" si="0"/>
        <v/>
      </c>
      <c r="H18" s="4"/>
    </row>
    <row r="19" spans="2:8" x14ac:dyDescent="0.4">
      <c r="B19" s="4">
        <v>5</v>
      </c>
      <c r="C19" s="4"/>
      <c r="D19" s="4" t="str">
        <f>IF(C19="","",VLOOKUP(C19,リスト!$B$5:$D$18,2,FALSE))</f>
        <v/>
      </c>
      <c r="E19" s="7" t="str">
        <f>IF(C19="","",VLOOKUP(C19,リスト!$B$5:$D$18,3,FALSE))</f>
        <v/>
      </c>
      <c r="F19" s="4"/>
      <c r="G19" s="7" t="str">
        <f t="shared" si="0"/>
        <v/>
      </c>
      <c r="H19" s="4"/>
    </row>
    <row r="20" spans="2:8" x14ac:dyDescent="0.4">
      <c r="B20" s="4">
        <v>6</v>
      </c>
      <c r="C20" s="4"/>
      <c r="D20" s="4" t="str">
        <f>IF(C20="","",VLOOKUP(C20,リスト!$B$5:$D$18,2,FALSE))</f>
        <v/>
      </c>
      <c r="E20" s="7" t="str">
        <f>IF(C20="","",VLOOKUP(C20,リスト!$B$5:$D$18,3,FALSE))</f>
        <v/>
      </c>
      <c r="F20" s="4"/>
      <c r="G20" s="7" t="str">
        <f t="shared" si="0"/>
        <v/>
      </c>
      <c r="H20" s="4"/>
    </row>
    <row r="21" spans="2:8" x14ac:dyDescent="0.4">
      <c r="B21" s="4">
        <v>7</v>
      </c>
      <c r="C21" s="4"/>
      <c r="D21" s="4" t="str">
        <f>IF(C21="","",VLOOKUP(C21,リスト!$B$5:$D$18,2,FALSE))</f>
        <v/>
      </c>
      <c r="E21" s="7" t="str">
        <f>IF(C21="","",VLOOKUP(C21,リスト!$B$5:$D$18,3,FALSE))</f>
        <v/>
      </c>
      <c r="F21" s="4"/>
      <c r="G21" s="7" t="str">
        <f t="shared" si="0"/>
        <v/>
      </c>
      <c r="H21" s="4"/>
    </row>
    <row r="22" spans="2:8" x14ac:dyDescent="0.4">
      <c r="B22" s="4">
        <v>8</v>
      </c>
      <c r="C22" s="4"/>
      <c r="D22" s="4" t="str">
        <f>IF(C22="","",VLOOKUP(C22,リスト!$B$5:$D$18,2,FALSE))</f>
        <v/>
      </c>
      <c r="E22" s="7" t="str">
        <f>IF(C22="","",VLOOKUP(C22,リスト!$B$5:$D$18,3,FALSE))</f>
        <v/>
      </c>
      <c r="F22" s="4"/>
      <c r="G22" s="7" t="str">
        <f t="shared" si="0"/>
        <v/>
      </c>
      <c r="H22" s="4"/>
    </row>
    <row r="23" spans="2:8" x14ac:dyDescent="0.4">
      <c r="B23" s="4">
        <v>9</v>
      </c>
      <c r="C23" s="4"/>
      <c r="D23" s="4" t="str">
        <f>IF(C23="","",VLOOKUP(C23,リスト!$B$5:$D$18,2,FALSE))</f>
        <v/>
      </c>
      <c r="E23" s="7" t="str">
        <f>IF(C23="","",VLOOKUP(C23,リスト!$B$5:$D$18,3,FALSE))</f>
        <v/>
      </c>
      <c r="F23" s="4"/>
      <c r="G23" s="7" t="str">
        <f t="shared" si="0"/>
        <v/>
      </c>
      <c r="H23" s="4"/>
    </row>
    <row r="24" spans="2:8" x14ac:dyDescent="0.4">
      <c r="B24" s="4">
        <v>10</v>
      </c>
      <c r="C24" s="4"/>
      <c r="D24" s="4" t="str">
        <f>IF(C24="","",VLOOKUP(C24,リスト!$B$5:$D$18,2,FALSE))</f>
        <v/>
      </c>
      <c r="E24" s="7" t="str">
        <f>IF(C24="","",VLOOKUP(C24,リスト!$B$5:$D$18,3,FALSE))</f>
        <v/>
      </c>
      <c r="F24" s="4"/>
      <c r="G24" s="7" t="str">
        <f t="shared" si="0"/>
        <v/>
      </c>
      <c r="H24" s="4"/>
    </row>
    <row r="25" spans="2:8" x14ac:dyDescent="0.4">
      <c r="B25" s="4">
        <v>11</v>
      </c>
      <c r="C25" s="4"/>
      <c r="D25" s="4" t="str">
        <f>IF(C25="","",VLOOKUP(C25,リスト!$B$5:$D$18,2,FALSE))</f>
        <v/>
      </c>
      <c r="E25" s="7" t="str">
        <f>IF(C25="","",VLOOKUP(C25,リスト!$B$5:$D$18,3,FALSE))</f>
        <v/>
      </c>
      <c r="F25" s="4"/>
      <c r="G25" s="7" t="str">
        <f t="shared" si="0"/>
        <v/>
      </c>
      <c r="H25" s="4"/>
    </row>
    <row r="26" spans="2:8" x14ac:dyDescent="0.4">
      <c r="B26" s="4">
        <v>12</v>
      </c>
      <c r="C26" s="4"/>
      <c r="D26" s="4" t="str">
        <f>IF(C26="","",VLOOKUP(C26,リスト!$B$5:$D$18,2,FALSE))</f>
        <v/>
      </c>
      <c r="E26" s="7" t="str">
        <f>IF(C26="","",VLOOKUP(C26,リスト!$B$5:$D$18,3,FALSE))</f>
        <v/>
      </c>
      <c r="F26" s="4"/>
      <c r="G26" s="7" t="str">
        <f t="shared" si="0"/>
        <v/>
      </c>
      <c r="H26" s="4"/>
    </row>
    <row r="27" spans="2:8" x14ac:dyDescent="0.4">
      <c r="B27" s="4">
        <v>13</v>
      </c>
      <c r="C27" s="4"/>
      <c r="D27" s="4" t="str">
        <f>IF(C27="","",VLOOKUP(C27,リスト!$B$5:$D$18,2,FALSE))</f>
        <v/>
      </c>
      <c r="E27" s="7" t="str">
        <f>IF(C27="","",VLOOKUP(C27,リスト!$B$5:$D$18,3,FALSE))</f>
        <v/>
      </c>
      <c r="F27" s="4"/>
      <c r="G27" s="7" t="str">
        <f t="shared" si="0"/>
        <v/>
      </c>
      <c r="H27" s="4"/>
    </row>
    <row r="28" spans="2:8" x14ac:dyDescent="0.4">
      <c r="B28" s="4">
        <v>14</v>
      </c>
      <c r="C28" s="4"/>
      <c r="D28" s="4" t="str">
        <f>IF(C28="","",VLOOKUP(C28,リスト!$B$5:$D$18,2,FALSE))</f>
        <v/>
      </c>
      <c r="E28" s="7" t="str">
        <f>IF(C28="","",VLOOKUP(C28,リスト!$B$5:$D$18,3,FALSE))</f>
        <v/>
      </c>
      <c r="F28" s="4"/>
      <c r="G28" s="7" t="str">
        <f t="shared" si="0"/>
        <v/>
      </c>
      <c r="H28" s="4"/>
    </row>
    <row r="29" spans="2:8" x14ac:dyDescent="0.4">
      <c r="B29" s="4">
        <v>15</v>
      </c>
      <c r="C29" s="4"/>
      <c r="D29" s="4" t="str">
        <f>IF(C29="","",VLOOKUP(C29,リスト!$B$5:$D$18,2,FALSE))</f>
        <v/>
      </c>
      <c r="E29" s="7" t="str">
        <f>IF(C29="","",VLOOKUP(C29,リスト!$B$5:$D$18,3,FALSE))</f>
        <v/>
      </c>
      <c r="F29" s="4"/>
      <c r="G29" s="7" t="str">
        <f t="shared" si="0"/>
        <v/>
      </c>
      <c r="H29" s="4"/>
    </row>
    <row r="30" spans="2:8" x14ac:dyDescent="0.4">
      <c r="E30" s="11" t="s">
        <v>17</v>
      </c>
      <c r="F30" s="6"/>
      <c r="G30" s="24">
        <f>SUM(G15:G29)</f>
        <v>0</v>
      </c>
      <c r="H30" s="25"/>
    </row>
    <row r="31" spans="2:8" x14ac:dyDescent="0.4">
      <c r="E31" s="11" t="s">
        <v>18</v>
      </c>
      <c r="F31" s="12">
        <v>0.08</v>
      </c>
      <c r="G31" s="24">
        <f>INT(G30*F31)</f>
        <v>0</v>
      </c>
      <c r="H31" s="25"/>
    </row>
    <row r="32" spans="2:8" x14ac:dyDescent="0.4">
      <c r="E32" s="11" t="s">
        <v>19</v>
      </c>
      <c r="F32" s="6"/>
      <c r="G32" s="24">
        <f>G30+G31</f>
        <v>0</v>
      </c>
      <c r="H32" s="25"/>
    </row>
    <row r="33" spans="2:8" ht="19.5" thickBot="1" x14ac:dyDescent="0.45"/>
    <row r="34" spans="2:8" x14ac:dyDescent="0.4">
      <c r="B34" s="14" t="s">
        <v>37</v>
      </c>
      <c r="C34" s="15"/>
      <c r="D34" s="15"/>
      <c r="E34" s="15"/>
      <c r="F34" s="15"/>
      <c r="G34" s="15"/>
      <c r="H34" s="16"/>
    </row>
    <row r="35" spans="2:8" x14ac:dyDescent="0.4">
      <c r="B35" s="17"/>
      <c r="C35" s="18"/>
      <c r="D35" s="18"/>
      <c r="E35" s="18"/>
      <c r="F35" s="18"/>
      <c r="G35" s="18"/>
      <c r="H35" s="19"/>
    </row>
    <row r="36" spans="2:8" x14ac:dyDescent="0.4">
      <c r="B36" s="17"/>
      <c r="C36" s="18"/>
      <c r="D36" s="18"/>
      <c r="E36" s="18"/>
      <c r="F36" s="18"/>
      <c r="G36" s="18"/>
      <c r="H36" s="19"/>
    </row>
    <row r="37" spans="2:8" x14ac:dyDescent="0.4">
      <c r="B37" s="17"/>
      <c r="C37" s="18"/>
      <c r="D37" s="18"/>
      <c r="E37" s="18"/>
      <c r="F37" s="18"/>
      <c r="G37" s="18"/>
      <c r="H37" s="19"/>
    </row>
    <row r="38" spans="2:8" ht="19.5" thickBot="1" x14ac:dyDescent="0.45">
      <c r="B38" s="20"/>
      <c r="C38" s="21"/>
      <c r="D38" s="21"/>
      <c r="E38" s="21"/>
      <c r="F38" s="21"/>
      <c r="G38" s="21"/>
      <c r="H38" s="22"/>
    </row>
  </sheetData>
  <mergeCells count="6">
    <mergeCell ref="B2:E3"/>
    <mergeCell ref="B34:H38"/>
    <mergeCell ref="F12:H12"/>
    <mergeCell ref="G30:H30"/>
    <mergeCell ref="G31:H31"/>
    <mergeCell ref="G32:H32"/>
  </mergeCells>
  <phoneticPr fontId="2"/>
  <pageMargins left="0.7" right="0.7" top="0.75" bottom="0.75" header="0.3" footer="0.3"/>
  <pageSetup paperSize="9" scale="98" orientation="portrait" r:id="rId1"/>
  <colBreaks count="1" manualBreakCount="1">
    <brk id="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データ削除">
                <anchor moveWithCells="1" sizeWithCells="1">
                  <from>
                    <xdr:col>8</xdr:col>
                    <xdr:colOff>581025</xdr:colOff>
                    <xdr:row>11</xdr:row>
                    <xdr:rowOff>85725</xdr:rowOff>
                  </from>
                  <to>
                    <xdr:col>10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顧客名入力">
                <anchor moveWithCells="1" sizeWithCells="1">
                  <from>
                    <xdr:col>8</xdr:col>
                    <xdr:colOff>581025</xdr:colOff>
                    <xdr:row>3</xdr:row>
                    <xdr:rowOff>228600</xdr:rowOff>
                  </from>
                  <to>
                    <xdr:col>10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リスト参照">
                <anchor moveWithCells="1" sizeWithCells="1">
                  <from>
                    <xdr:col>8</xdr:col>
                    <xdr:colOff>581025</xdr:colOff>
                    <xdr:row>5</xdr:row>
                    <xdr:rowOff>57150</xdr:rowOff>
                  </from>
                  <to>
                    <xdr:col>10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データ入力">
                <anchor moveWithCells="1" sizeWithCells="1">
                  <from>
                    <xdr:col>8</xdr:col>
                    <xdr:colOff>581025</xdr:colOff>
                    <xdr:row>7</xdr:row>
                    <xdr:rowOff>66675</xdr:rowOff>
                  </from>
                  <to>
                    <xdr:col>10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顧客名入力">
                <anchor moveWithCells="1" sizeWithCells="1">
                  <from>
                    <xdr:col>23</xdr:col>
                    <xdr:colOff>342900</xdr:colOff>
                    <xdr:row>0</xdr:row>
                    <xdr:rowOff>209550</xdr:rowOff>
                  </from>
                  <to>
                    <xdr:col>24</xdr:col>
                    <xdr:colOff>447675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プレビュー">
                <anchor moveWithCells="1" sizeWithCells="1">
                  <from>
                    <xdr:col>8</xdr:col>
                    <xdr:colOff>581025</xdr:colOff>
                    <xdr:row>9</xdr:row>
                    <xdr:rowOff>76200</xdr:rowOff>
                  </from>
                  <to>
                    <xdr:col>10</xdr:col>
                    <xdr:colOff>0</xdr:colOff>
                    <xdr:row>10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D18"/>
  <sheetViews>
    <sheetView workbookViewId="0"/>
  </sheetViews>
  <sheetFormatPr defaultRowHeight="18.75" x14ac:dyDescent="0.4"/>
  <cols>
    <col min="1" max="1" width="1.625" customWidth="1"/>
    <col min="3" max="3" width="22.75" bestFit="1" customWidth="1"/>
  </cols>
  <sheetData>
    <row r="2" spans="2:4" ht="25.5" x14ac:dyDescent="0.4">
      <c r="B2" s="9" t="s">
        <v>20</v>
      </c>
    </row>
    <row r="4" spans="2:4" x14ac:dyDescent="0.4">
      <c r="B4" s="5" t="s">
        <v>11</v>
      </c>
      <c r="C4" s="5" t="s">
        <v>12</v>
      </c>
      <c r="D4" s="5" t="s">
        <v>13</v>
      </c>
    </row>
    <row r="5" spans="2:4" x14ac:dyDescent="0.4">
      <c r="B5" s="4">
        <v>101</v>
      </c>
      <c r="C5" s="4" t="s">
        <v>24</v>
      </c>
      <c r="D5" s="7">
        <v>1500</v>
      </c>
    </row>
    <row r="6" spans="2:4" x14ac:dyDescent="0.4">
      <c r="B6" s="4">
        <v>102</v>
      </c>
      <c r="C6" s="4" t="s">
        <v>25</v>
      </c>
      <c r="D6" s="7">
        <v>2000</v>
      </c>
    </row>
    <row r="7" spans="2:4" x14ac:dyDescent="0.4">
      <c r="B7" s="4">
        <v>103</v>
      </c>
      <c r="C7" s="4" t="s">
        <v>26</v>
      </c>
      <c r="D7" s="7">
        <v>2500</v>
      </c>
    </row>
    <row r="8" spans="2:4" x14ac:dyDescent="0.4">
      <c r="B8" s="4">
        <v>104</v>
      </c>
      <c r="C8" s="4" t="s">
        <v>27</v>
      </c>
      <c r="D8" s="7">
        <v>2500</v>
      </c>
    </row>
    <row r="9" spans="2:4" x14ac:dyDescent="0.4">
      <c r="B9" s="4">
        <v>105</v>
      </c>
      <c r="C9" s="4" t="s">
        <v>28</v>
      </c>
      <c r="D9" s="7">
        <v>2500</v>
      </c>
    </row>
    <row r="10" spans="2:4" x14ac:dyDescent="0.4">
      <c r="B10" s="4">
        <v>106</v>
      </c>
      <c r="C10" s="4" t="s">
        <v>29</v>
      </c>
      <c r="D10" s="7">
        <v>2500</v>
      </c>
    </row>
    <row r="11" spans="2:4" x14ac:dyDescent="0.4">
      <c r="B11" s="4">
        <v>107</v>
      </c>
      <c r="C11" s="4" t="s">
        <v>30</v>
      </c>
      <c r="D11" s="7">
        <v>2500</v>
      </c>
    </row>
    <row r="12" spans="2:4" x14ac:dyDescent="0.4">
      <c r="B12" s="4">
        <v>108</v>
      </c>
      <c r="C12" s="4" t="s">
        <v>31</v>
      </c>
      <c r="D12" s="7">
        <v>2500</v>
      </c>
    </row>
    <row r="13" spans="2:4" x14ac:dyDescent="0.4">
      <c r="B13" s="4">
        <v>109</v>
      </c>
      <c r="C13" s="4" t="s">
        <v>32</v>
      </c>
      <c r="D13" s="7">
        <v>3000</v>
      </c>
    </row>
    <row r="14" spans="2:4" x14ac:dyDescent="0.4">
      <c r="B14" s="4">
        <v>110</v>
      </c>
      <c r="C14" s="4" t="s">
        <v>33</v>
      </c>
      <c r="D14" s="7">
        <v>3000</v>
      </c>
    </row>
    <row r="15" spans="2:4" x14ac:dyDescent="0.4">
      <c r="B15" s="4">
        <v>111</v>
      </c>
      <c r="C15" s="4" t="s">
        <v>34</v>
      </c>
      <c r="D15" s="7">
        <v>3000</v>
      </c>
    </row>
    <row r="16" spans="2:4" x14ac:dyDescent="0.4">
      <c r="B16" s="4">
        <v>112</v>
      </c>
      <c r="C16" s="4" t="s">
        <v>35</v>
      </c>
      <c r="D16" s="7">
        <v>2500</v>
      </c>
    </row>
    <row r="17" spans="2:4" x14ac:dyDescent="0.4">
      <c r="B17" s="4">
        <v>113</v>
      </c>
      <c r="C17" s="4" t="s">
        <v>36</v>
      </c>
      <c r="D17" s="7">
        <v>2500</v>
      </c>
    </row>
    <row r="18" spans="2:4" x14ac:dyDescent="0.4">
      <c r="B18" s="4" t="s">
        <v>21</v>
      </c>
      <c r="C18" s="4" t="s">
        <v>22</v>
      </c>
      <c r="D18" s="4" t="s">
        <v>23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参照リストを閉じる">
                <anchor moveWithCells="1" sizeWithCells="1">
                  <from>
                    <xdr:col>2</xdr:col>
                    <xdr:colOff>981075</xdr:colOff>
                    <xdr:row>0</xdr:row>
                    <xdr:rowOff>200025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見積書</vt:lpstr>
      <vt:lpstr>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Printed>2016-06-24T04:30:52Z</cp:lastPrinted>
  <dcterms:created xsi:type="dcterms:W3CDTF">2016-03-31T00:35:25Z</dcterms:created>
  <dcterms:modified xsi:type="dcterms:W3CDTF">2016-07-04T08:01:27Z</dcterms:modified>
</cp:coreProperties>
</file>