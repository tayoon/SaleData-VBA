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富士太郎\Desktop\Excel2016マクロVBA\"/>
    </mc:Choice>
  </mc:AlternateContent>
  <bookViews>
    <workbookView xWindow="0" yWindow="0" windowWidth="15360" windowHeight="7545"/>
  </bookViews>
  <sheets>
    <sheet name="見積書" sheetId="1" r:id="rId1"/>
    <sheet name="商品一覧" sheetId="2" r:id="rId2"/>
    <sheet name="売上一覧" sheetId="3" r:id="rId3"/>
  </sheets>
  <definedNames>
    <definedName name="_xlnm.Print_Area" localSheetId="0">見積書!$A$1:$J$43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" i="1" l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16" i="1"/>
  <c r="H17" i="1" l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16" i="1"/>
  <c r="G41" i="3" l="1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I32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31" i="1" l="1"/>
  <c r="I33" i="1" s="1"/>
  <c r="G12" i="1" s="1"/>
</calcChain>
</file>

<file path=xl/sharedStrings.xml><?xml version="1.0" encoding="utf-8"?>
<sst xmlns="http://schemas.openxmlformats.org/spreadsheetml/2006/main" count="96" uniqueCount="44">
  <si>
    <t>御　見　積　書</t>
  </si>
  <si>
    <t>株式会社FOM飲料</t>
  </si>
  <si>
    <t>営業部　原　直樹</t>
  </si>
  <si>
    <t>株式会社Fオフィス</t>
  </si>
  <si>
    <t>〒105-0022　東京都港区海岸1-X-X</t>
  </si>
  <si>
    <t>Tel 03-5535-XXXX</t>
  </si>
  <si>
    <t>Fax 03-5535-XXXX</t>
  </si>
  <si>
    <t>下記のとおり、お見積り申し上げます。</t>
  </si>
  <si>
    <t>納品期日：</t>
  </si>
  <si>
    <t>取引方法：</t>
  </si>
  <si>
    <t>月末締め翌月末払い</t>
  </si>
  <si>
    <t>有効期限：</t>
  </si>
  <si>
    <t>見積提出より2週間</t>
  </si>
  <si>
    <t>商品番号</t>
  </si>
  <si>
    <t>商品名</t>
  </si>
  <si>
    <t>数量</t>
  </si>
  <si>
    <t>単位</t>
  </si>
  <si>
    <t>税</t>
  </si>
  <si>
    <t>単価</t>
  </si>
  <si>
    <t>金額</t>
  </si>
  <si>
    <t>個</t>
  </si>
  <si>
    <t>別</t>
  </si>
  <si>
    <t>金額合計</t>
  </si>
  <si>
    <t>消費税</t>
  </si>
  <si>
    <t>見積合計</t>
  </si>
  <si>
    <t>No.</t>
    <phoneticPr fontId="2"/>
  </si>
  <si>
    <t>商品一覧</t>
  </si>
  <si>
    <t>モカコーヒー</t>
  </si>
  <si>
    <t>ブレンドコーヒー</t>
  </si>
  <si>
    <t>炭焼きコーヒー</t>
  </si>
  <si>
    <t>ブルーマウンテン</t>
  </si>
  <si>
    <t>キリマンジャロ</t>
  </si>
  <si>
    <t>アッサムティー</t>
  </si>
  <si>
    <t>ダージリンティー</t>
  </si>
  <si>
    <t>アップルティー</t>
  </si>
  <si>
    <t>オレンジペコ</t>
  </si>
  <si>
    <t>アールグレイ</t>
  </si>
  <si>
    <t>カモミール</t>
  </si>
  <si>
    <t>ジャスミンティー</t>
  </si>
  <si>
    <t>売上一覧</t>
  </si>
  <si>
    <t>日付</t>
  </si>
  <si>
    <t>No.</t>
    <phoneticPr fontId="2"/>
  </si>
  <si>
    <t>備考</t>
    <rPh sb="0" eb="2">
      <t>ビコウ</t>
    </rPh>
    <phoneticPr fontId="2"/>
  </si>
  <si>
    <t>備考</t>
    <rPh sb="0" eb="2">
      <t>ビコウ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</si>
</sst>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6" formatCode="&quot;¥&quot;#,##0;[Red]&quot;¥&quot;\-#,##0"/>
    <numFmt numFmtId="176" formatCode="[$-F800]dddd\,\ mmmm\ dd\,\ yyyy"/>
    <numFmt numFmtId="177" formatCode="&quot;税込合計金額　&quot;&quot;¥&quot;#,##0"/>
    <numFmt numFmtId="178" formatCode="@\ \ &quot;様&quot;"/>
  </numFmts>
  <fonts count="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8"/>
      <color theme="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u val="doubleAccounting"/>
      <sz val="16"/>
      <color theme="1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right" vertical="center"/>
    </xf>
    <xf numFmtId="176" fontId="5" fillId="0" borderId="0" xfId="0" applyNumberFormat="1" applyFont="1">
      <alignment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vertical="center" indent="5"/>
    </xf>
    <xf numFmtId="0" fontId="0" fillId="0" borderId="1" xfId="0" applyBorder="1">
      <alignment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0" fillId="3" borderId="6" xfId="0" applyFill="1" applyBorder="1">
      <alignment vertical="center"/>
    </xf>
    <xf numFmtId="38" fontId="0" fillId="0" borderId="1" xfId="1" applyFont="1" applyBorder="1">
      <alignment vertical="center"/>
    </xf>
    <xf numFmtId="0" fontId="7" fillId="0" borderId="0" xfId="0" applyFont="1">
      <alignment vertical="center"/>
    </xf>
    <xf numFmtId="14" fontId="0" fillId="0" borderId="1" xfId="0" applyNumberFormat="1" applyBorder="1">
      <alignment vertical="center"/>
    </xf>
    <xf numFmtId="177" fontId="6" fillId="0" borderId="0" xfId="2" applyNumberFormat="1" applyFont="1" applyAlignment="1">
      <alignment vertical="center"/>
    </xf>
    <xf numFmtId="0" fontId="4" fillId="3" borderId="1" xfId="0" applyNumberFormat="1" applyFont="1" applyFill="1" applyBorder="1" applyAlignment="1">
      <alignment horizontal="center" vertical="center"/>
    </xf>
    <xf numFmtId="0" fontId="0" fillId="0" borderId="1" xfId="1" applyNumberFormat="1" applyFont="1" applyBorder="1">
      <alignment vertical="center"/>
    </xf>
    <xf numFmtId="178" fontId="4" fillId="0" borderId="0" xfId="0" applyNumberFormat="1" applyFont="1">
      <alignment vertical="center"/>
    </xf>
    <xf numFmtId="9" fontId="0" fillId="3" borderId="7" xfId="0" applyNumberFormat="1" applyFill="1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0" xfId="0" applyBorder="1" applyAlignment="1">
      <alignment vertical="top"/>
    </xf>
    <xf numFmtId="0" fontId="3" fillId="2" borderId="0" xfId="0" applyFont="1" applyFill="1" applyAlignment="1">
      <alignment horizontal="center" vertical="center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12" xfId="0" applyBorder="1" applyAlignment="1">
      <alignment vertical="top"/>
    </xf>
    <xf numFmtId="0" fontId="0" fillId="0" borderId="13" xfId="0" applyBorder="1" applyAlignment="1">
      <alignment vertical="top"/>
    </xf>
    <xf numFmtId="0" fontId="0" fillId="0" borderId="14" xfId="0" applyBorder="1" applyAlignment="1">
      <alignment vertical="top"/>
    </xf>
    <xf numFmtId="0" fontId="0" fillId="0" borderId="15" xfId="0" applyBorder="1" applyAlignment="1">
      <alignment vertical="top"/>
    </xf>
    <xf numFmtId="177" fontId="6" fillId="0" borderId="0" xfId="2" applyNumberFormat="1" applyFont="1" applyAlignment="1">
      <alignment horizontal="right" vertical="center"/>
    </xf>
    <xf numFmtId="38" fontId="0" fillId="0" borderId="1" xfId="1" applyFont="1" applyBorder="1">
      <alignment vertical="center"/>
    </xf>
  </cellXfs>
  <cellStyles count="3">
    <cellStyle name="桁区切り" xfId="1" builtinId="6"/>
    <cellStyle name="通貨" xfId="2" builtinId="7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7</xdr:col>
          <xdr:colOff>66675</xdr:colOff>
          <xdr:row>4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見積書へ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J43"/>
  <sheetViews>
    <sheetView tabSelected="1" zoomScaleNormal="100" workbookViewId="0"/>
  </sheetViews>
  <sheetFormatPr defaultRowHeight="18.75" x14ac:dyDescent="0.4"/>
  <cols>
    <col min="1" max="1" width="1.625" customWidth="1"/>
    <col min="2" max="2" width="4.5" customWidth="1"/>
    <col min="4" max="4" width="21" customWidth="1"/>
    <col min="5" max="6" width="5.5" bestFit="1" customWidth="1"/>
    <col min="7" max="7" width="6.625" customWidth="1"/>
    <col min="8" max="9" width="10.625" customWidth="1"/>
    <col min="10" max="10" width="15.625" customWidth="1"/>
  </cols>
  <sheetData>
    <row r="2" spans="2:10" ht="30" x14ac:dyDescent="0.4">
      <c r="B2" s="25" t="s">
        <v>0</v>
      </c>
      <c r="C2" s="25"/>
      <c r="D2" s="25"/>
      <c r="E2" s="25"/>
      <c r="F2" s="25"/>
      <c r="G2" s="25"/>
      <c r="H2" s="25"/>
      <c r="I2" s="25"/>
      <c r="J2" s="25"/>
    </row>
    <row r="4" spans="2:10" x14ac:dyDescent="0.4">
      <c r="B4" s="2" t="s">
        <v>1</v>
      </c>
      <c r="J4" s="4">
        <v>42623</v>
      </c>
    </row>
    <row r="5" spans="2:10" x14ac:dyDescent="0.4">
      <c r="B5" s="21" t="s">
        <v>2</v>
      </c>
    </row>
    <row r="6" spans="2:10" x14ac:dyDescent="0.4">
      <c r="J6" s="3" t="s">
        <v>3</v>
      </c>
    </row>
    <row r="7" spans="2:10" x14ac:dyDescent="0.4">
      <c r="J7" s="3" t="s">
        <v>4</v>
      </c>
    </row>
    <row r="8" spans="2:10" x14ac:dyDescent="0.4">
      <c r="J8" s="3" t="s">
        <v>5</v>
      </c>
    </row>
    <row r="9" spans="2:10" x14ac:dyDescent="0.4">
      <c r="J9" s="3" t="s">
        <v>6</v>
      </c>
    </row>
    <row r="10" spans="2:10" x14ac:dyDescent="0.4">
      <c r="B10" t="s">
        <v>7</v>
      </c>
    </row>
    <row r="11" spans="2:10" x14ac:dyDescent="0.4">
      <c r="B11" s="5" t="s">
        <v>8</v>
      </c>
      <c r="C11" s="6"/>
      <c r="D11" s="1">
        <v>42643</v>
      </c>
    </row>
    <row r="12" spans="2:10" ht="18.75" customHeight="1" x14ac:dyDescent="0.4">
      <c r="B12" s="5" t="s">
        <v>9</v>
      </c>
      <c r="C12" s="6"/>
      <c r="D12" t="s">
        <v>10</v>
      </c>
      <c r="G12" s="35">
        <f>I33</f>
        <v>234090</v>
      </c>
      <c r="H12" s="35"/>
      <c r="I12" s="35"/>
      <c r="J12" s="35"/>
    </row>
    <row r="13" spans="2:10" ht="18.75" customHeight="1" x14ac:dyDescent="0.4">
      <c r="B13" s="5" t="s">
        <v>11</v>
      </c>
      <c r="C13" s="6"/>
      <c r="D13" t="s">
        <v>12</v>
      </c>
      <c r="F13" s="18"/>
      <c r="G13" s="35"/>
      <c r="H13" s="35"/>
      <c r="I13" s="35"/>
      <c r="J13" s="35"/>
    </row>
    <row r="15" spans="2:10" x14ac:dyDescent="0.4">
      <c r="B15" s="8" t="s">
        <v>25</v>
      </c>
      <c r="C15" s="8" t="s">
        <v>13</v>
      </c>
      <c r="D15" s="8" t="s">
        <v>14</v>
      </c>
      <c r="E15" s="8" t="s">
        <v>15</v>
      </c>
      <c r="F15" s="8" t="s">
        <v>16</v>
      </c>
      <c r="G15" s="8" t="s">
        <v>17</v>
      </c>
      <c r="H15" s="8" t="s">
        <v>18</v>
      </c>
      <c r="I15" s="8" t="s">
        <v>19</v>
      </c>
      <c r="J15" s="19" t="s">
        <v>42</v>
      </c>
    </row>
    <row r="16" spans="2:10" x14ac:dyDescent="0.4">
      <c r="B16" s="7">
        <v>1</v>
      </c>
      <c r="C16" s="7">
        <v>1003</v>
      </c>
      <c r="D16" s="7" t="str">
        <f>IF(C16="","",VLOOKUP(C16,商品一覧!$B$5:$D$16,2,FALSE))</f>
        <v>炭焼きコーヒー</v>
      </c>
      <c r="E16" s="7">
        <v>30</v>
      </c>
      <c r="F16" s="9" t="s">
        <v>20</v>
      </c>
      <c r="G16" s="9" t="s">
        <v>21</v>
      </c>
      <c r="H16" s="15">
        <f>IF(C16="","",VLOOKUP(C16,商品一覧!$B$5:$D$16,3,FALSE))</f>
        <v>2100</v>
      </c>
      <c r="I16" s="15">
        <f t="shared" ref="I16:I30" si="0">IF(H16="","",E16*H16)</f>
        <v>63000</v>
      </c>
      <c r="J16" s="20"/>
    </row>
    <row r="17" spans="2:10" x14ac:dyDescent="0.4">
      <c r="B17" s="7">
        <v>2</v>
      </c>
      <c r="C17" s="7">
        <v>2001</v>
      </c>
      <c r="D17" s="7" t="str">
        <f>IF(C17="","",VLOOKUP(C17,商品一覧!$B$5:$D$16,2,FALSE))</f>
        <v>アッサムティー</v>
      </c>
      <c r="E17" s="7">
        <v>20</v>
      </c>
      <c r="F17" s="9" t="s">
        <v>20</v>
      </c>
      <c r="G17" s="9" t="s">
        <v>21</v>
      </c>
      <c r="H17" s="15">
        <f>IF(C17="","",VLOOKUP(C17,商品一覧!$B$5:$D$16,3,FALSE))</f>
        <v>1200</v>
      </c>
      <c r="I17" s="15">
        <f t="shared" si="0"/>
        <v>24000</v>
      </c>
      <c r="J17" s="20"/>
    </row>
    <row r="18" spans="2:10" x14ac:dyDescent="0.4">
      <c r="B18" s="7">
        <v>3</v>
      </c>
      <c r="C18" s="7">
        <v>2003</v>
      </c>
      <c r="D18" s="7" t="str">
        <f>IF(C18="","",VLOOKUP(C18,商品一覧!$B$5:$D$16,2,FALSE))</f>
        <v>アップルティー</v>
      </c>
      <c r="E18" s="7">
        <v>20</v>
      </c>
      <c r="F18" s="9" t="s">
        <v>20</v>
      </c>
      <c r="G18" s="9" t="s">
        <v>21</v>
      </c>
      <c r="H18" s="15">
        <f>IF(C18="","",VLOOKUP(C18,商品一覧!$B$5:$D$16,3,FALSE))</f>
        <v>1000</v>
      </c>
      <c r="I18" s="15">
        <f t="shared" si="0"/>
        <v>20000</v>
      </c>
      <c r="J18" s="20"/>
    </row>
    <row r="19" spans="2:10" x14ac:dyDescent="0.4">
      <c r="B19" s="7">
        <v>4</v>
      </c>
      <c r="C19" s="7">
        <v>1005</v>
      </c>
      <c r="D19" s="7" t="str">
        <f>IF(C19="","",VLOOKUP(C19,商品一覧!$B$5:$D$16,2,FALSE))</f>
        <v>キリマンジャロ</v>
      </c>
      <c r="E19" s="7">
        <v>50</v>
      </c>
      <c r="F19" s="9" t="s">
        <v>20</v>
      </c>
      <c r="G19" s="9" t="s">
        <v>21</v>
      </c>
      <c r="H19" s="15">
        <f>IF(C19="","",VLOOKUP(C19,商品一覧!$B$5:$D$16,3,FALSE))</f>
        <v>1600</v>
      </c>
      <c r="I19" s="15">
        <f t="shared" si="0"/>
        <v>80000</v>
      </c>
      <c r="J19" s="20"/>
    </row>
    <row r="20" spans="2:10" x14ac:dyDescent="0.4">
      <c r="B20" s="7">
        <v>5</v>
      </c>
      <c r="C20" s="7">
        <v>2004</v>
      </c>
      <c r="D20" s="7" t="str">
        <f>IF(C20="","",VLOOKUP(C20,商品一覧!$B$5:$D$16,2,FALSE))</f>
        <v>オレンジペコ</v>
      </c>
      <c r="E20" s="7">
        <v>35</v>
      </c>
      <c r="F20" s="9" t="s">
        <v>20</v>
      </c>
      <c r="G20" s="9" t="s">
        <v>21</v>
      </c>
      <c r="H20" s="15">
        <f>IF(C20="","",VLOOKUP(C20,商品一覧!$B$5:$D$16,3,FALSE))</f>
        <v>850</v>
      </c>
      <c r="I20" s="15">
        <f t="shared" si="0"/>
        <v>29750</v>
      </c>
      <c r="J20" s="20"/>
    </row>
    <row r="21" spans="2:10" x14ac:dyDescent="0.4">
      <c r="B21" s="7">
        <v>6</v>
      </c>
      <c r="C21" s="7"/>
      <c r="D21" s="7" t="str">
        <f>IF(C21="","",VLOOKUP(C21,商品一覧!$B$5:$D$16,2,FALSE))</f>
        <v/>
      </c>
      <c r="E21" s="7"/>
      <c r="F21" s="9"/>
      <c r="G21" s="9"/>
      <c r="H21" s="15" t="str">
        <f>IF(C21="","",VLOOKUP(C21,商品一覧!$B$5:$D$16,3,FALSE))</f>
        <v/>
      </c>
      <c r="I21" s="15" t="str">
        <f t="shared" si="0"/>
        <v/>
      </c>
      <c r="J21" s="20"/>
    </row>
    <row r="22" spans="2:10" x14ac:dyDescent="0.4">
      <c r="B22" s="7">
        <v>7</v>
      </c>
      <c r="C22" s="7"/>
      <c r="D22" s="7" t="str">
        <f>IF(C22="","",VLOOKUP(C22,商品一覧!$B$5:$D$16,2,FALSE))</f>
        <v/>
      </c>
      <c r="E22" s="7"/>
      <c r="F22" s="9"/>
      <c r="G22" s="9"/>
      <c r="H22" s="15" t="str">
        <f>IF(C22="","",VLOOKUP(C22,商品一覧!$B$5:$D$16,3,FALSE))</f>
        <v/>
      </c>
      <c r="I22" s="15" t="str">
        <f t="shared" si="0"/>
        <v/>
      </c>
      <c r="J22" s="20"/>
    </row>
    <row r="23" spans="2:10" x14ac:dyDescent="0.4">
      <c r="B23" s="7">
        <v>8</v>
      </c>
      <c r="C23" s="7"/>
      <c r="D23" s="7" t="str">
        <f>IF(C23="","",VLOOKUP(C23,商品一覧!$B$5:$D$16,2,FALSE))</f>
        <v/>
      </c>
      <c r="E23" s="7"/>
      <c r="F23" s="9"/>
      <c r="G23" s="9"/>
      <c r="H23" s="15" t="str">
        <f>IF(C23="","",VLOOKUP(C23,商品一覧!$B$5:$D$16,3,FALSE))</f>
        <v/>
      </c>
      <c r="I23" s="15" t="str">
        <f t="shared" si="0"/>
        <v/>
      </c>
      <c r="J23" s="20"/>
    </row>
    <row r="24" spans="2:10" x14ac:dyDescent="0.4">
      <c r="B24" s="7">
        <v>9</v>
      </c>
      <c r="C24" s="7"/>
      <c r="D24" s="7" t="str">
        <f>IF(C24="","",VLOOKUP(C24,商品一覧!$B$5:$D$16,2,FALSE))</f>
        <v/>
      </c>
      <c r="E24" s="7"/>
      <c r="F24" s="9"/>
      <c r="G24" s="9"/>
      <c r="H24" s="15" t="str">
        <f>IF(C24="","",VLOOKUP(C24,商品一覧!$B$5:$D$16,3,FALSE))</f>
        <v/>
      </c>
      <c r="I24" s="15" t="str">
        <f t="shared" si="0"/>
        <v/>
      </c>
      <c r="J24" s="20"/>
    </row>
    <row r="25" spans="2:10" x14ac:dyDescent="0.4">
      <c r="B25" s="7">
        <v>10</v>
      </c>
      <c r="C25" s="7"/>
      <c r="D25" s="7" t="str">
        <f>IF(C25="","",VLOOKUP(C25,商品一覧!$B$5:$D$16,2,FALSE))</f>
        <v/>
      </c>
      <c r="E25" s="7"/>
      <c r="F25" s="9"/>
      <c r="G25" s="9"/>
      <c r="H25" s="15" t="str">
        <f>IF(C25="","",VLOOKUP(C25,商品一覧!$B$5:$D$16,3,FALSE))</f>
        <v/>
      </c>
      <c r="I25" s="15" t="str">
        <f t="shared" si="0"/>
        <v/>
      </c>
      <c r="J25" s="20"/>
    </row>
    <row r="26" spans="2:10" x14ac:dyDescent="0.4">
      <c r="B26" s="7">
        <v>11</v>
      </c>
      <c r="C26" s="7"/>
      <c r="D26" s="7" t="str">
        <f>IF(C26="","",VLOOKUP(C26,商品一覧!$B$5:$D$16,2,FALSE))</f>
        <v/>
      </c>
      <c r="E26" s="7"/>
      <c r="F26" s="9"/>
      <c r="G26" s="9"/>
      <c r="H26" s="15" t="str">
        <f>IF(C26="","",VLOOKUP(C26,商品一覧!$B$5:$D$16,3,FALSE))</f>
        <v/>
      </c>
      <c r="I26" s="15" t="str">
        <f t="shared" si="0"/>
        <v/>
      </c>
      <c r="J26" s="20"/>
    </row>
    <row r="27" spans="2:10" x14ac:dyDescent="0.4">
      <c r="B27" s="7">
        <v>12</v>
      </c>
      <c r="C27" s="7"/>
      <c r="D27" s="7" t="str">
        <f>IF(C27="","",VLOOKUP(C27,商品一覧!$B$5:$D$16,2,FALSE))</f>
        <v/>
      </c>
      <c r="E27" s="7"/>
      <c r="F27" s="9"/>
      <c r="G27" s="9"/>
      <c r="H27" s="15" t="str">
        <f>IF(C27="","",VLOOKUP(C27,商品一覧!$B$5:$D$16,3,FALSE))</f>
        <v/>
      </c>
      <c r="I27" s="15" t="str">
        <f t="shared" si="0"/>
        <v/>
      </c>
      <c r="J27" s="20"/>
    </row>
    <row r="28" spans="2:10" x14ac:dyDescent="0.4">
      <c r="B28" s="7">
        <v>13</v>
      </c>
      <c r="C28" s="7"/>
      <c r="D28" s="7" t="str">
        <f>IF(C28="","",VLOOKUP(C28,商品一覧!$B$5:$D$16,2,FALSE))</f>
        <v/>
      </c>
      <c r="E28" s="7"/>
      <c r="F28" s="9"/>
      <c r="G28" s="9"/>
      <c r="H28" s="15" t="str">
        <f>IF(C28="","",VLOOKUP(C28,商品一覧!$B$5:$D$16,3,FALSE))</f>
        <v/>
      </c>
      <c r="I28" s="15" t="str">
        <f t="shared" si="0"/>
        <v/>
      </c>
      <c r="J28" s="20"/>
    </row>
    <row r="29" spans="2:10" x14ac:dyDescent="0.4">
      <c r="B29" s="7">
        <v>14</v>
      </c>
      <c r="C29" s="7"/>
      <c r="D29" s="7" t="str">
        <f>IF(C29="","",VLOOKUP(C29,商品一覧!$B$5:$D$16,2,FALSE))</f>
        <v/>
      </c>
      <c r="E29" s="7"/>
      <c r="F29" s="9"/>
      <c r="G29" s="9"/>
      <c r="H29" s="15" t="str">
        <f>IF(C29="","",VLOOKUP(C29,商品一覧!$B$5:$D$16,3,FALSE))</f>
        <v/>
      </c>
      <c r="I29" s="15" t="str">
        <f t="shared" si="0"/>
        <v/>
      </c>
      <c r="J29" s="20"/>
    </row>
    <row r="30" spans="2:10" x14ac:dyDescent="0.4">
      <c r="B30" s="7">
        <v>15</v>
      </c>
      <c r="C30" s="7"/>
      <c r="D30" s="7" t="str">
        <f>IF(C30="","",VLOOKUP(C30,商品一覧!$B$5:$D$16,2,FALSE))</f>
        <v/>
      </c>
      <c r="E30" s="7"/>
      <c r="F30" s="9"/>
      <c r="G30" s="9"/>
      <c r="H30" s="15" t="str">
        <f>IF(C30="","",VLOOKUP(C30,商品一覧!$B$5:$D$16,3,FALSE))</f>
        <v/>
      </c>
      <c r="I30" s="15" t="str">
        <f t="shared" si="0"/>
        <v/>
      </c>
      <c r="J30" s="20"/>
    </row>
    <row r="31" spans="2:10" x14ac:dyDescent="0.4">
      <c r="G31" s="10" t="s">
        <v>22</v>
      </c>
      <c r="H31" s="11"/>
      <c r="I31" s="36">
        <f>SUM(I16:I30)</f>
        <v>216750</v>
      </c>
      <c r="J31" s="36"/>
    </row>
    <row r="32" spans="2:10" x14ac:dyDescent="0.4">
      <c r="G32" s="14" t="s">
        <v>23</v>
      </c>
      <c r="H32" s="22">
        <v>0.08</v>
      </c>
      <c r="I32" s="36">
        <f>INT(SUMIF(G16:G30,"別",I16:I30)*H32)</f>
        <v>17340</v>
      </c>
      <c r="J32" s="36"/>
    </row>
    <row r="33" spans="2:10" x14ac:dyDescent="0.4">
      <c r="G33" s="12" t="s">
        <v>24</v>
      </c>
      <c r="H33" s="13"/>
      <c r="I33" s="36">
        <f>I31+I32</f>
        <v>234090</v>
      </c>
      <c r="J33" s="36"/>
    </row>
    <row r="35" spans="2:10" ht="19.5" thickBot="1" x14ac:dyDescent="0.45">
      <c r="B35" s="23"/>
      <c r="C35" s="24"/>
      <c r="D35" s="24"/>
      <c r="E35" s="24"/>
      <c r="F35" s="24"/>
      <c r="G35" s="24"/>
      <c r="H35" s="24"/>
      <c r="I35" s="24"/>
      <c r="J35" s="24"/>
    </row>
    <row r="36" spans="2:10" x14ac:dyDescent="0.4">
      <c r="B36" s="26" t="s">
        <v>43</v>
      </c>
      <c r="C36" s="27"/>
      <c r="D36" s="27"/>
      <c r="E36" s="27"/>
      <c r="F36" s="27"/>
      <c r="G36" s="27"/>
      <c r="H36" s="27"/>
      <c r="I36" s="27"/>
      <c r="J36" s="28"/>
    </row>
    <row r="37" spans="2:10" x14ac:dyDescent="0.4">
      <c r="B37" s="29"/>
      <c r="C37" s="30"/>
      <c r="D37" s="30"/>
      <c r="E37" s="30"/>
      <c r="F37" s="30"/>
      <c r="G37" s="30"/>
      <c r="H37" s="30"/>
      <c r="I37" s="30"/>
      <c r="J37" s="31"/>
    </row>
    <row r="38" spans="2:10" x14ac:dyDescent="0.4">
      <c r="B38" s="29"/>
      <c r="C38" s="30"/>
      <c r="D38" s="30"/>
      <c r="E38" s="30"/>
      <c r="F38" s="30"/>
      <c r="G38" s="30"/>
      <c r="H38" s="30"/>
      <c r="I38" s="30"/>
      <c r="J38" s="31"/>
    </row>
    <row r="39" spans="2:10" x14ac:dyDescent="0.4">
      <c r="B39" s="29"/>
      <c r="C39" s="30"/>
      <c r="D39" s="30"/>
      <c r="E39" s="30"/>
      <c r="F39" s="30"/>
      <c r="G39" s="30"/>
      <c r="H39" s="30"/>
      <c r="I39" s="30"/>
      <c r="J39" s="31"/>
    </row>
    <row r="40" spans="2:10" x14ac:dyDescent="0.4">
      <c r="B40" s="29"/>
      <c r="C40" s="30"/>
      <c r="D40" s="30"/>
      <c r="E40" s="30"/>
      <c r="F40" s="30"/>
      <c r="G40" s="30"/>
      <c r="H40" s="30"/>
      <c r="I40" s="30"/>
      <c r="J40" s="31"/>
    </row>
    <row r="41" spans="2:10" x14ac:dyDescent="0.4">
      <c r="B41" s="29"/>
      <c r="C41" s="30"/>
      <c r="D41" s="30"/>
      <c r="E41" s="30"/>
      <c r="F41" s="30"/>
      <c r="G41" s="30"/>
      <c r="H41" s="30"/>
      <c r="I41" s="30"/>
      <c r="J41" s="31"/>
    </row>
    <row r="42" spans="2:10" x14ac:dyDescent="0.4">
      <c r="B42" s="29"/>
      <c r="C42" s="30"/>
      <c r="D42" s="30"/>
      <c r="E42" s="30"/>
      <c r="F42" s="30"/>
      <c r="G42" s="30"/>
      <c r="H42" s="30"/>
      <c r="I42" s="30"/>
      <c r="J42" s="31"/>
    </row>
    <row r="43" spans="2:10" ht="19.5" thickBot="1" x14ac:dyDescent="0.45">
      <c r="B43" s="32"/>
      <c r="C43" s="33"/>
      <c r="D43" s="33"/>
      <c r="E43" s="33"/>
      <c r="F43" s="33"/>
      <c r="G43" s="33"/>
      <c r="H43" s="33"/>
      <c r="I43" s="33"/>
      <c r="J43" s="34"/>
    </row>
  </sheetData>
  <mergeCells count="6">
    <mergeCell ref="B2:J2"/>
    <mergeCell ref="B36:J43"/>
    <mergeCell ref="G12:J13"/>
    <mergeCell ref="I31:J31"/>
    <mergeCell ref="I32:J32"/>
    <mergeCell ref="I33:J33"/>
  </mergeCells>
  <phoneticPr fontId="2"/>
  <pageMargins left="0.7" right="0.7" top="0.75" bottom="0.75" header="0.3" footer="0.3"/>
  <pageSetup paperSize="9" scale="88" orientation="portrait" r:id="rId1"/>
  <colBreaks count="1" manualBreakCount="1">
    <brk id="10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D16"/>
  <sheetViews>
    <sheetView workbookViewId="0"/>
  </sheetViews>
  <sheetFormatPr defaultRowHeight="18.75" x14ac:dyDescent="0.4"/>
  <cols>
    <col min="1" max="1" width="1.625" customWidth="1"/>
    <col min="3" max="3" width="17.25" bestFit="1" customWidth="1"/>
    <col min="4" max="4" width="7.25" customWidth="1"/>
  </cols>
  <sheetData>
    <row r="2" spans="2:4" ht="24" x14ac:dyDescent="0.4">
      <c r="B2" s="16" t="s">
        <v>26</v>
      </c>
    </row>
    <row r="4" spans="2:4" x14ac:dyDescent="0.4">
      <c r="B4" s="8" t="s">
        <v>13</v>
      </c>
      <c r="C4" s="8" t="s">
        <v>14</v>
      </c>
      <c r="D4" s="8" t="s">
        <v>18</v>
      </c>
    </row>
    <row r="5" spans="2:4" x14ac:dyDescent="0.4">
      <c r="B5" s="7">
        <v>1001</v>
      </c>
      <c r="C5" s="7" t="s">
        <v>27</v>
      </c>
      <c r="D5" s="15">
        <v>1500</v>
      </c>
    </row>
    <row r="6" spans="2:4" x14ac:dyDescent="0.4">
      <c r="B6" s="7">
        <v>1002</v>
      </c>
      <c r="C6" s="7" t="s">
        <v>28</v>
      </c>
      <c r="D6" s="15">
        <v>1800</v>
      </c>
    </row>
    <row r="7" spans="2:4" x14ac:dyDescent="0.4">
      <c r="B7" s="7">
        <v>1003</v>
      </c>
      <c r="C7" s="7" t="s">
        <v>29</v>
      </c>
      <c r="D7" s="15">
        <v>2100</v>
      </c>
    </row>
    <row r="8" spans="2:4" x14ac:dyDescent="0.4">
      <c r="B8" s="7">
        <v>1004</v>
      </c>
      <c r="C8" s="7" t="s">
        <v>30</v>
      </c>
      <c r="D8" s="15">
        <v>1800</v>
      </c>
    </row>
    <row r="9" spans="2:4" x14ac:dyDescent="0.4">
      <c r="B9" s="7">
        <v>1005</v>
      </c>
      <c r="C9" s="7" t="s">
        <v>31</v>
      </c>
      <c r="D9" s="15">
        <v>1600</v>
      </c>
    </row>
    <row r="10" spans="2:4" x14ac:dyDescent="0.4">
      <c r="B10" s="7">
        <v>2001</v>
      </c>
      <c r="C10" s="7" t="s">
        <v>32</v>
      </c>
      <c r="D10" s="15">
        <v>1200</v>
      </c>
    </row>
    <row r="11" spans="2:4" x14ac:dyDescent="0.4">
      <c r="B11" s="7">
        <v>2002</v>
      </c>
      <c r="C11" s="7" t="s">
        <v>33</v>
      </c>
      <c r="D11" s="15">
        <v>900</v>
      </c>
    </row>
    <row r="12" spans="2:4" x14ac:dyDescent="0.4">
      <c r="B12" s="7">
        <v>2003</v>
      </c>
      <c r="C12" s="7" t="s">
        <v>34</v>
      </c>
      <c r="D12" s="15">
        <v>1000</v>
      </c>
    </row>
    <row r="13" spans="2:4" x14ac:dyDescent="0.4">
      <c r="B13" s="7">
        <v>2004</v>
      </c>
      <c r="C13" s="7" t="s">
        <v>35</v>
      </c>
      <c r="D13" s="15">
        <v>850</v>
      </c>
    </row>
    <row r="14" spans="2:4" x14ac:dyDescent="0.4">
      <c r="B14" s="7">
        <v>2005</v>
      </c>
      <c r="C14" s="7" t="s">
        <v>36</v>
      </c>
      <c r="D14" s="15">
        <v>950</v>
      </c>
    </row>
    <row r="15" spans="2:4" x14ac:dyDescent="0.4">
      <c r="B15" s="7">
        <v>2006</v>
      </c>
      <c r="C15" s="7" t="s">
        <v>37</v>
      </c>
      <c r="D15" s="15">
        <v>700</v>
      </c>
    </row>
    <row r="16" spans="2:4" x14ac:dyDescent="0.4">
      <c r="B16" s="7">
        <v>3001</v>
      </c>
      <c r="C16" s="7" t="s">
        <v>38</v>
      </c>
      <c r="D16" s="15">
        <v>600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見積書へ戻る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7</xdr:col>
                    <xdr:colOff>66675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G41"/>
  <sheetViews>
    <sheetView workbookViewId="0"/>
  </sheetViews>
  <sheetFormatPr defaultRowHeight="18.75" x14ac:dyDescent="0.4"/>
  <cols>
    <col min="1" max="1" width="1.625" customWidth="1"/>
    <col min="2" max="2" width="4.375" bestFit="1" customWidth="1"/>
    <col min="3" max="3" width="10.25" bestFit="1" customWidth="1"/>
    <col min="4" max="4" width="17.25" bestFit="1" customWidth="1"/>
    <col min="5" max="5" width="7.375" customWidth="1"/>
    <col min="6" max="6" width="5.25" bestFit="1" customWidth="1"/>
    <col min="7" max="7" width="10.25" customWidth="1"/>
  </cols>
  <sheetData>
    <row r="2" spans="2:7" ht="24" x14ac:dyDescent="0.4">
      <c r="B2" s="16" t="s">
        <v>39</v>
      </c>
    </row>
    <row r="4" spans="2:7" x14ac:dyDescent="0.4">
      <c r="B4" s="8" t="s">
        <v>41</v>
      </c>
      <c r="C4" s="8" t="s">
        <v>40</v>
      </c>
      <c r="D4" s="8" t="s">
        <v>14</v>
      </c>
      <c r="E4" s="8" t="s">
        <v>18</v>
      </c>
      <c r="F4" s="8" t="s">
        <v>15</v>
      </c>
      <c r="G4" s="8" t="s">
        <v>19</v>
      </c>
    </row>
    <row r="5" spans="2:7" x14ac:dyDescent="0.4">
      <c r="B5" s="7">
        <v>1</v>
      </c>
      <c r="C5" s="17">
        <v>42561</v>
      </c>
      <c r="D5" s="7" t="s">
        <v>27</v>
      </c>
      <c r="E5" s="15">
        <v>1500</v>
      </c>
      <c r="F5" s="7">
        <v>30</v>
      </c>
      <c r="G5" s="15">
        <f t="shared" ref="G5:G41" si="0">E5*F5</f>
        <v>45000</v>
      </c>
    </row>
    <row r="6" spans="2:7" x14ac:dyDescent="0.4">
      <c r="B6" s="7">
        <v>2</v>
      </c>
      <c r="C6" s="17">
        <v>42561</v>
      </c>
      <c r="D6" s="7" t="s">
        <v>28</v>
      </c>
      <c r="E6" s="15">
        <v>1800</v>
      </c>
      <c r="F6" s="7">
        <v>15</v>
      </c>
      <c r="G6" s="15">
        <f t="shared" si="0"/>
        <v>27000</v>
      </c>
    </row>
    <row r="7" spans="2:7" x14ac:dyDescent="0.4">
      <c r="B7" s="7">
        <v>3</v>
      </c>
      <c r="C7" s="17">
        <v>42561</v>
      </c>
      <c r="D7" s="7" t="s">
        <v>29</v>
      </c>
      <c r="E7" s="15">
        <v>2100</v>
      </c>
      <c r="F7" s="7">
        <v>20</v>
      </c>
      <c r="G7" s="15">
        <f t="shared" si="0"/>
        <v>42000</v>
      </c>
    </row>
    <row r="8" spans="2:7" x14ac:dyDescent="0.4">
      <c r="B8" s="7">
        <v>4</v>
      </c>
      <c r="C8" s="17">
        <v>42561</v>
      </c>
      <c r="D8" s="7" t="s">
        <v>31</v>
      </c>
      <c r="E8" s="15">
        <v>1600</v>
      </c>
      <c r="F8" s="7">
        <v>50</v>
      </c>
      <c r="G8" s="15">
        <f t="shared" si="0"/>
        <v>80000</v>
      </c>
    </row>
    <row r="9" spans="2:7" x14ac:dyDescent="0.4">
      <c r="B9" s="7">
        <v>5</v>
      </c>
      <c r="C9" s="17">
        <v>42561</v>
      </c>
      <c r="D9" s="7" t="s">
        <v>32</v>
      </c>
      <c r="E9" s="15">
        <v>1200</v>
      </c>
      <c r="F9" s="7">
        <v>100</v>
      </c>
      <c r="G9" s="15">
        <f t="shared" si="0"/>
        <v>120000</v>
      </c>
    </row>
    <row r="10" spans="2:7" x14ac:dyDescent="0.4">
      <c r="B10" s="7">
        <v>6</v>
      </c>
      <c r="C10" s="17">
        <v>42561</v>
      </c>
      <c r="D10" s="7" t="s">
        <v>33</v>
      </c>
      <c r="E10" s="15">
        <v>900</v>
      </c>
      <c r="F10" s="7">
        <v>40</v>
      </c>
      <c r="G10" s="15">
        <f t="shared" si="0"/>
        <v>36000</v>
      </c>
    </row>
    <row r="11" spans="2:7" x14ac:dyDescent="0.4">
      <c r="B11" s="7">
        <v>7</v>
      </c>
      <c r="C11" s="17">
        <v>42561</v>
      </c>
      <c r="D11" s="7" t="s">
        <v>34</v>
      </c>
      <c r="E11" s="15">
        <v>1000</v>
      </c>
      <c r="F11" s="7">
        <v>20</v>
      </c>
      <c r="G11" s="15">
        <f t="shared" si="0"/>
        <v>20000</v>
      </c>
    </row>
    <row r="12" spans="2:7" x14ac:dyDescent="0.4">
      <c r="B12" s="7">
        <v>8</v>
      </c>
      <c r="C12" s="17">
        <v>42561</v>
      </c>
      <c r="D12" s="7" t="s">
        <v>35</v>
      </c>
      <c r="E12" s="15">
        <v>850</v>
      </c>
      <c r="F12" s="7">
        <v>50</v>
      </c>
      <c r="G12" s="15">
        <f t="shared" si="0"/>
        <v>42500</v>
      </c>
    </row>
    <row r="13" spans="2:7" x14ac:dyDescent="0.4">
      <c r="B13" s="7">
        <v>9</v>
      </c>
      <c r="C13" s="17">
        <v>42571</v>
      </c>
      <c r="D13" s="7" t="s">
        <v>35</v>
      </c>
      <c r="E13" s="15">
        <v>850</v>
      </c>
      <c r="F13" s="7">
        <v>30</v>
      </c>
      <c r="G13" s="15">
        <f t="shared" si="0"/>
        <v>25500</v>
      </c>
    </row>
    <row r="14" spans="2:7" x14ac:dyDescent="0.4">
      <c r="B14" s="7">
        <v>10</v>
      </c>
      <c r="C14" s="17">
        <v>42571</v>
      </c>
      <c r="D14" s="7" t="s">
        <v>36</v>
      </c>
      <c r="E14" s="15">
        <v>950</v>
      </c>
      <c r="F14" s="7">
        <v>10</v>
      </c>
      <c r="G14" s="15">
        <f t="shared" si="0"/>
        <v>9500</v>
      </c>
    </row>
    <row r="15" spans="2:7" x14ac:dyDescent="0.4">
      <c r="B15" s="7">
        <v>11</v>
      </c>
      <c r="C15" s="17">
        <v>42571</v>
      </c>
      <c r="D15" s="7" t="s">
        <v>37</v>
      </c>
      <c r="E15" s="15">
        <v>700</v>
      </c>
      <c r="F15" s="7">
        <v>20</v>
      </c>
      <c r="G15" s="15">
        <f t="shared" si="0"/>
        <v>14000</v>
      </c>
    </row>
    <row r="16" spans="2:7" x14ac:dyDescent="0.4">
      <c r="B16" s="7">
        <v>12</v>
      </c>
      <c r="C16" s="17">
        <v>42571</v>
      </c>
      <c r="D16" s="7" t="s">
        <v>38</v>
      </c>
      <c r="E16" s="15">
        <v>600</v>
      </c>
      <c r="F16" s="7">
        <v>10</v>
      </c>
      <c r="G16" s="15">
        <f t="shared" si="0"/>
        <v>6000</v>
      </c>
    </row>
    <row r="17" spans="2:7" x14ac:dyDescent="0.4">
      <c r="B17" s="7">
        <v>13</v>
      </c>
      <c r="C17" s="17">
        <v>42581</v>
      </c>
      <c r="D17" s="7" t="s">
        <v>28</v>
      </c>
      <c r="E17" s="15">
        <v>1800</v>
      </c>
      <c r="F17" s="7">
        <v>20</v>
      </c>
      <c r="G17" s="15">
        <f t="shared" si="0"/>
        <v>36000</v>
      </c>
    </row>
    <row r="18" spans="2:7" x14ac:dyDescent="0.4">
      <c r="B18" s="7">
        <v>14</v>
      </c>
      <c r="C18" s="17">
        <v>42581</v>
      </c>
      <c r="D18" s="7" t="s">
        <v>29</v>
      </c>
      <c r="E18" s="15">
        <v>2100</v>
      </c>
      <c r="F18" s="7">
        <v>80</v>
      </c>
      <c r="G18" s="15">
        <f t="shared" si="0"/>
        <v>168000</v>
      </c>
    </row>
    <row r="19" spans="2:7" x14ac:dyDescent="0.4">
      <c r="B19" s="7">
        <v>15</v>
      </c>
      <c r="C19" s="17">
        <v>42581</v>
      </c>
      <c r="D19" s="7" t="s">
        <v>31</v>
      </c>
      <c r="E19" s="15">
        <v>1600</v>
      </c>
      <c r="F19" s="7">
        <v>20</v>
      </c>
      <c r="G19" s="15">
        <f t="shared" si="0"/>
        <v>32000</v>
      </c>
    </row>
    <row r="20" spans="2:7" x14ac:dyDescent="0.4">
      <c r="B20" s="7">
        <v>16</v>
      </c>
      <c r="C20" s="17">
        <v>42581</v>
      </c>
      <c r="D20" s="7" t="s">
        <v>32</v>
      </c>
      <c r="E20" s="15">
        <v>1200</v>
      </c>
      <c r="F20" s="7">
        <v>15</v>
      </c>
      <c r="G20" s="15">
        <f t="shared" si="0"/>
        <v>18000</v>
      </c>
    </row>
    <row r="21" spans="2:7" x14ac:dyDescent="0.4">
      <c r="B21" s="7">
        <v>17</v>
      </c>
      <c r="C21" s="17">
        <v>42581</v>
      </c>
      <c r="D21" s="7" t="s">
        <v>31</v>
      </c>
      <c r="E21" s="15">
        <v>1600</v>
      </c>
      <c r="F21" s="7">
        <v>40</v>
      </c>
      <c r="G21" s="15">
        <f t="shared" si="0"/>
        <v>64000</v>
      </c>
    </row>
    <row r="22" spans="2:7" x14ac:dyDescent="0.4">
      <c r="B22" s="7">
        <v>18</v>
      </c>
      <c r="C22" s="17">
        <v>42581</v>
      </c>
      <c r="D22" s="7" t="s">
        <v>32</v>
      </c>
      <c r="E22" s="15">
        <v>1200</v>
      </c>
      <c r="F22" s="7">
        <v>10</v>
      </c>
      <c r="G22" s="15">
        <f t="shared" si="0"/>
        <v>12000</v>
      </c>
    </row>
    <row r="23" spans="2:7" x14ac:dyDescent="0.4">
      <c r="B23" s="7">
        <v>19</v>
      </c>
      <c r="C23" s="17">
        <v>42581</v>
      </c>
      <c r="D23" s="7" t="s">
        <v>33</v>
      </c>
      <c r="E23" s="15">
        <v>900</v>
      </c>
      <c r="F23" s="7">
        <v>80</v>
      </c>
      <c r="G23" s="15">
        <f t="shared" si="0"/>
        <v>72000</v>
      </c>
    </row>
    <row r="24" spans="2:7" x14ac:dyDescent="0.4">
      <c r="B24" s="7">
        <v>20</v>
      </c>
      <c r="C24" s="17">
        <v>42581</v>
      </c>
      <c r="D24" s="7" t="s">
        <v>34</v>
      </c>
      <c r="E24" s="15">
        <v>1000</v>
      </c>
      <c r="F24" s="7">
        <v>50</v>
      </c>
      <c r="G24" s="15">
        <f t="shared" si="0"/>
        <v>50000</v>
      </c>
    </row>
    <row r="25" spans="2:7" x14ac:dyDescent="0.4">
      <c r="B25" s="7">
        <v>21</v>
      </c>
      <c r="C25" s="17">
        <v>42581</v>
      </c>
      <c r="D25" s="7" t="s">
        <v>27</v>
      </c>
      <c r="E25" s="15">
        <v>1500</v>
      </c>
      <c r="F25" s="7">
        <v>30</v>
      </c>
      <c r="G25" s="15">
        <f t="shared" si="0"/>
        <v>45000</v>
      </c>
    </row>
    <row r="26" spans="2:7" x14ac:dyDescent="0.4">
      <c r="B26" s="7">
        <v>22</v>
      </c>
      <c r="C26" s="17">
        <v>42592</v>
      </c>
      <c r="D26" s="7" t="s">
        <v>28</v>
      </c>
      <c r="E26" s="15">
        <v>1800</v>
      </c>
      <c r="F26" s="7">
        <v>20</v>
      </c>
      <c r="G26" s="15">
        <f t="shared" si="0"/>
        <v>36000</v>
      </c>
    </row>
    <row r="27" spans="2:7" x14ac:dyDescent="0.4">
      <c r="B27" s="7">
        <v>23</v>
      </c>
      <c r="C27" s="17">
        <v>42592</v>
      </c>
      <c r="D27" s="7" t="s">
        <v>29</v>
      </c>
      <c r="E27" s="15">
        <v>2100</v>
      </c>
      <c r="F27" s="7">
        <v>60</v>
      </c>
      <c r="G27" s="15">
        <f t="shared" si="0"/>
        <v>126000</v>
      </c>
    </row>
    <row r="28" spans="2:7" x14ac:dyDescent="0.4">
      <c r="B28" s="7">
        <v>24</v>
      </c>
      <c r="C28" s="17">
        <v>42592</v>
      </c>
      <c r="D28" s="7" t="s">
        <v>30</v>
      </c>
      <c r="E28" s="15">
        <v>1800</v>
      </c>
      <c r="F28" s="7">
        <v>50</v>
      </c>
      <c r="G28" s="15">
        <f t="shared" si="0"/>
        <v>90000</v>
      </c>
    </row>
    <row r="29" spans="2:7" x14ac:dyDescent="0.4">
      <c r="B29" s="7">
        <v>25</v>
      </c>
      <c r="C29" s="17">
        <v>42592</v>
      </c>
      <c r="D29" s="7" t="s">
        <v>31</v>
      </c>
      <c r="E29" s="15">
        <v>1600</v>
      </c>
      <c r="F29" s="7">
        <v>50</v>
      </c>
      <c r="G29" s="15">
        <f t="shared" si="0"/>
        <v>80000</v>
      </c>
    </row>
    <row r="30" spans="2:7" x14ac:dyDescent="0.4">
      <c r="B30" s="7">
        <v>26</v>
      </c>
      <c r="C30" s="17">
        <v>42592</v>
      </c>
      <c r="D30" s="7" t="s">
        <v>32</v>
      </c>
      <c r="E30" s="15">
        <v>1200</v>
      </c>
      <c r="F30" s="7">
        <v>50</v>
      </c>
      <c r="G30" s="15">
        <f t="shared" si="0"/>
        <v>60000</v>
      </c>
    </row>
    <row r="31" spans="2:7" x14ac:dyDescent="0.4">
      <c r="B31" s="7">
        <v>27</v>
      </c>
      <c r="C31" s="17">
        <v>42592</v>
      </c>
      <c r="D31" s="7" t="s">
        <v>37</v>
      </c>
      <c r="E31" s="15">
        <v>700</v>
      </c>
      <c r="F31" s="7">
        <v>60</v>
      </c>
      <c r="G31" s="15">
        <f t="shared" si="0"/>
        <v>42000</v>
      </c>
    </row>
    <row r="32" spans="2:7" x14ac:dyDescent="0.4">
      <c r="B32" s="7">
        <v>28</v>
      </c>
      <c r="C32" s="17">
        <v>42592</v>
      </c>
      <c r="D32" s="7" t="s">
        <v>38</v>
      </c>
      <c r="E32" s="15">
        <v>600</v>
      </c>
      <c r="F32" s="7">
        <v>20</v>
      </c>
      <c r="G32" s="15">
        <f t="shared" si="0"/>
        <v>12000</v>
      </c>
    </row>
    <row r="33" spans="2:7" x14ac:dyDescent="0.4">
      <c r="B33" s="7">
        <v>29</v>
      </c>
      <c r="C33" s="17">
        <v>42592</v>
      </c>
      <c r="D33" s="7" t="s">
        <v>31</v>
      </c>
      <c r="E33" s="15">
        <v>1600</v>
      </c>
      <c r="F33" s="7">
        <v>90</v>
      </c>
      <c r="G33" s="15">
        <f t="shared" si="0"/>
        <v>144000</v>
      </c>
    </row>
    <row r="34" spans="2:7" x14ac:dyDescent="0.4">
      <c r="B34" s="7">
        <v>30</v>
      </c>
      <c r="C34" s="17">
        <v>42592</v>
      </c>
      <c r="D34" s="7" t="s">
        <v>32</v>
      </c>
      <c r="E34" s="15">
        <v>1200</v>
      </c>
      <c r="F34" s="7">
        <v>60</v>
      </c>
      <c r="G34" s="15">
        <f t="shared" si="0"/>
        <v>72000</v>
      </c>
    </row>
    <row r="35" spans="2:7" x14ac:dyDescent="0.4">
      <c r="B35" s="7">
        <v>31</v>
      </c>
      <c r="C35" s="17">
        <v>42602</v>
      </c>
      <c r="D35" s="7" t="s">
        <v>33</v>
      </c>
      <c r="E35" s="15">
        <v>900</v>
      </c>
      <c r="F35" s="7">
        <v>80</v>
      </c>
      <c r="G35" s="15">
        <f t="shared" si="0"/>
        <v>72000</v>
      </c>
    </row>
    <row r="36" spans="2:7" x14ac:dyDescent="0.4">
      <c r="B36" s="7">
        <v>32</v>
      </c>
      <c r="C36" s="17">
        <v>42602</v>
      </c>
      <c r="D36" s="7" t="s">
        <v>34</v>
      </c>
      <c r="E36" s="15">
        <v>1000</v>
      </c>
      <c r="F36" s="7">
        <v>20</v>
      </c>
      <c r="G36" s="15">
        <f t="shared" si="0"/>
        <v>20000</v>
      </c>
    </row>
    <row r="37" spans="2:7" x14ac:dyDescent="0.4">
      <c r="B37" s="7">
        <v>33</v>
      </c>
      <c r="C37" s="17">
        <v>42602</v>
      </c>
      <c r="D37" s="7" t="s">
        <v>29</v>
      </c>
      <c r="E37" s="15">
        <v>2100</v>
      </c>
      <c r="F37" s="7">
        <v>20</v>
      </c>
      <c r="G37" s="15">
        <f t="shared" si="0"/>
        <v>42000</v>
      </c>
    </row>
    <row r="38" spans="2:7" x14ac:dyDescent="0.4">
      <c r="B38" s="7">
        <v>34</v>
      </c>
      <c r="C38" s="17">
        <v>42602</v>
      </c>
      <c r="D38" s="7" t="s">
        <v>30</v>
      </c>
      <c r="E38" s="15">
        <v>1800</v>
      </c>
      <c r="F38" s="7">
        <v>80</v>
      </c>
      <c r="G38" s="15">
        <f t="shared" si="0"/>
        <v>144000</v>
      </c>
    </row>
    <row r="39" spans="2:7" x14ac:dyDescent="0.4">
      <c r="B39" s="7">
        <v>35</v>
      </c>
      <c r="C39" s="17">
        <v>42602</v>
      </c>
      <c r="D39" s="7" t="s">
        <v>31</v>
      </c>
      <c r="E39" s="15">
        <v>1600</v>
      </c>
      <c r="F39" s="7">
        <v>30</v>
      </c>
      <c r="G39" s="15">
        <f t="shared" si="0"/>
        <v>48000</v>
      </c>
    </row>
    <row r="40" spans="2:7" x14ac:dyDescent="0.4">
      <c r="B40" s="7">
        <v>36</v>
      </c>
      <c r="C40" s="17">
        <v>42602</v>
      </c>
      <c r="D40" s="7" t="s">
        <v>32</v>
      </c>
      <c r="E40" s="15">
        <v>1200</v>
      </c>
      <c r="F40" s="7">
        <v>40</v>
      </c>
      <c r="G40" s="15">
        <f t="shared" si="0"/>
        <v>48000</v>
      </c>
    </row>
    <row r="41" spans="2:7" x14ac:dyDescent="0.4">
      <c r="B41" s="7">
        <v>37</v>
      </c>
      <c r="C41" s="17">
        <v>42602</v>
      </c>
      <c r="D41" s="7" t="s">
        <v>33</v>
      </c>
      <c r="E41" s="15">
        <v>900</v>
      </c>
      <c r="F41" s="7">
        <v>60</v>
      </c>
      <c r="G41" s="15">
        <f t="shared" si="0"/>
        <v>54000</v>
      </c>
    </row>
  </sheetData>
  <sortState ref="B5:G41">
    <sortCondition ref="B4"/>
  </sortState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見積書</vt:lpstr>
      <vt:lpstr>商品一覧</vt:lpstr>
      <vt:lpstr>売上一覧</vt:lpstr>
      <vt:lpstr>見積書!Print_Area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Printed>2016-06-28T00:08:20Z</cp:lastPrinted>
  <dcterms:created xsi:type="dcterms:W3CDTF">2016-03-29T08:05:06Z</dcterms:created>
  <dcterms:modified xsi:type="dcterms:W3CDTF">2016-07-04T07:58:53Z</dcterms:modified>
</cp:coreProperties>
</file>