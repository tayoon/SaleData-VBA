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7E555D28-E0C7-D245-AF56-250C01883613}" xr6:coauthVersionLast="46" xr6:coauthVersionMax="46" xr10:uidLastSave="{00000000-0000-0000-0000-000000000000}"/>
  <bookViews>
    <workbookView xWindow="0" yWindow="500" windowWidth="28800" windowHeight="17500" firstSheet="4" activeTab="4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5" l="1"/>
  <c r="C329" i="10"/>
  <c r="D329" i="10"/>
  <c r="E329" i="10"/>
  <c r="F329" i="10"/>
  <c r="G329" i="10"/>
  <c r="C37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5" i="8" l="1"/>
  <c r="G30" i="12" l="1"/>
  <c r="G108" i="12"/>
  <c r="G82" i="12"/>
  <c r="K107" i="8" l="1"/>
  <c r="I107" i="8"/>
  <c r="G107" i="8"/>
  <c r="E107" i="8"/>
  <c r="C107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2" i="8" l="1"/>
  <c r="K102" i="8" l="1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I79" i="8"/>
  <c r="G79" i="8"/>
  <c r="E79" i="8"/>
  <c r="C79" i="8"/>
  <c r="K78" i="8"/>
  <c r="G88" i="10" s="1"/>
  <c r="I78" i="8"/>
  <c r="F88" i="10" s="1"/>
  <c r="G78" i="8"/>
  <c r="E88" i="10" s="1"/>
  <c r="E78" i="8"/>
  <c r="D88" i="10" s="1"/>
  <c r="C78" i="8"/>
  <c r="C88" i="10" s="1"/>
  <c r="K77" i="8"/>
  <c r="G75" i="10" s="1"/>
  <c r="I77" i="8"/>
  <c r="F75" i="10" s="1"/>
  <c r="G77" i="8"/>
  <c r="E75" i="10" s="1"/>
  <c r="E77" i="8"/>
  <c r="D75" i="10" s="1"/>
  <c r="C77" i="8"/>
  <c r="C75" i="10" s="1"/>
  <c r="K76" i="8"/>
  <c r="G62" i="10" s="1"/>
  <c r="I76" i="8"/>
  <c r="F62" i="10" s="1"/>
  <c r="G76" i="8"/>
  <c r="E62" i="10" s="1"/>
  <c r="E76" i="8"/>
  <c r="D62" i="10" s="1"/>
  <c r="C76" i="8"/>
  <c r="C62" i="10" s="1"/>
  <c r="K75" i="8"/>
  <c r="G75" i="8"/>
  <c r="E75" i="8"/>
  <c r="C75" i="8"/>
  <c r="K74" i="8"/>
  <c r="G36" i="10" s="1"/>
  <c r="I74" i="8"/>
  <c r="F36" i="10" s="1"/>
  <c r="G74" i="8"/>
  <c r="E36" i="10" s="1"/>
  <c r="E74" i="8"/>
  <c r="D36" i="10" s="1"/>
  <c r="C74" i="8"/>
  <c r="C36" i="10" s="1"/>
  <c r="K73" i="8"/>
  <c r="G23" i="10" s="1"/>
  <c r="I73" i="8"/>
  <c r="F23" i="10" s="1"/>
  <c r="G73" i="8"/>
  <c r="E23" i="10" s="1"/>
  <c r="E73" i="8"/>
  <c r="D23" i="10" s="1"/>
  <c r="C73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7" i="8"/>
  <c r="G10" i="9" s="1"/>
  <c r="I37" i="8"/>
  <c r="F10" i="9" s="1"/>
  <c r="G37" i="8"/>
  <c r="E10" i="9" s="1"/>
  <c r="E37" i="8"/>
  <c r="D10" i="9" s="1"/>
  <c r="C10" i="9"/>
  <c r="C38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7" i="8"/>
  <c r="G400" i="11" s="1"/>
  <c r="I137" i="8"/>
  <c r="F400" i="11" s="1"/>
  <c r="G137" i="8"/>
  <c r="E400" i="11" s="1"/>
  <c r="E137" i="8"/>
  <c r="D400" i="11" s="1"/>
  <c r="C137" i="8"/>
  <c r="C400" i="11" s="1"/>
  <c r="K136" i="8"/>
  <c r="G387" i="11" s="1"/>
  <c r="I136" i="8"/>
  <c r="F387" i="11" s="1"/>
  <c r="G136" i="8"/>
  <c r="E387" i="11" s="1"/>
  <c r="E136" i="8"/>
  <c r="D387" i="11" s="1"/>
  <c r="C136" i="8"/>
  <c r="C387" i="11" s="1"/>
  <c r="K135" i="8"/>
  <c r="G374" i="11" s="1"/>
  <c r="I135" i="8"/>
  <c r="F374" i="11" s="1"/>
  <c r="G135" i="8"/>
  <c r="E374" i="11" s="1"/>
  <c r="E135" i="8"/>
  <c r="D374" i="11" s="1"/>
  <c r="C135" i="8"/>
  <c r="C374" i="11" s="1"/>
  <c r="K134" i="8"/>
  <c r="G361" i="11" s="1"/>
  <c r="I134" i="8"/>
  <c r="F361" i="11" s="1"/>
  <c r="G134" i="8"/>
  <c r="E361" i="11" s="1"/>
  <c r="E134" i="8"/>
  <c r="D361" i="11" s="1"/>
  <c r="C134" i="8"/>
  <c r="K133" i="8"/>
  <c r="G348" i="11" s="1"/>
  <c r="I133" i="8"/>
  <c r="F348" i="11" s="1"/>
  <c r="G133" i="8"/>
  <c r="E348" i="11" s="1"/>
  <c r="E133" i="8"/>
  <c r="D348" i="11" s="1"/>
  <c r="C133" i="8"/>
  <c r="K132" i="8"/>
  <c r="G335" i="11" s="1"/>
  <c r="I132" i="8"/>
  <c r="F335" i="11" s="1"/>
  <c r="G132" i="8"/>
  <c r="E335" i="11" s="1"/>
  <c r="E132" i="8"/>
  <c r="D335" i="11" s="1"/>
  <c r="C132" i="8"/>
  <c r="K131" i="8"/>
  <c r="G322" i="11" s="1"/>
  <c r="I131" i="8"/>
  <c r="F322" i="11" s="1"/>
  <c r="G131" i="8"/>
  <c r="E322" i="11" s="1"/>
  <c r="E131" i="8"/>
  <c r="D322" i="11" s="1"/>
  <c r="C131" i="8"/>
  <c r="K130" i="8"/>
  <c r="G309" i="11" s="1"/>
  <c r="I130" i="8"/>
  <c r="F309" i="11" s="1"/>
  <c r="G130" i="8"/>
  <c r="E309" i="11" s="1"/>
  <c r="E130" i="8"/>
  <c r="D309" i="11" s="1"/>
  <c r="C130" i="8"/>
  <c r="K129" i="8"/>
  <c r="I129" i="8"/>
  <c r="G129" i="8"/>
  <c r="E129" i="8"/>
  <c r="C129" i="8"/>
  <c r="K128" i="8"/>
  <c r="I128" i="8"/>
  <c r="G128" i="8"/>
  <c r="E128" i="8"/>
  <c r="C128" i="8"/>
  <c r="K127" i="8"/>
  <c r="G270" i="11" s="1"/>
  <c r="I127" i="8"/>
  <c r="F270" i="11" s="1"/>
  <c r="G127" i="8"/>
  <c r="E270" i="11" s="1"/>
  <c r="E127" i="8"/>
  <c r="D270" i="11" s="1"/>
  <c r="C127" i="8"/>
  <c r="C270" i="11" s="1"/>
  <c r="K126" i="8"/>
  <c r="G257" i="11" s="1"/>
  <c r="I126" i="8"/>
  <c r="F257" i="11" s="1"/>
  <c r="G126" i="8"/>
  <c r="E257" i="11" s="1"/>
  <c r="E126" i="8"/>
  <c r="D257" i="11" s="1"/>
  <c r="C126" i="8"/>
  <c r="C257" i="11" s="1"/>
  <c r="K125" i="8"/>
  <c r="G244" i="11" s="1"/>
  <c r="I125" i="8"/>
  <c r="F244" i="11" s="1"/>
  <c r="G125" i="8"/>
  <c r="E244" i="11" s="1"/>
  <c r="E125" i="8"/>
  <c r="D244" i="11" s="1"/>
  <c r="C125" i="8"/>
  <c r="C244" i="11" s="1"/>
  <c r="K124" i="8"/>
  <c r="G231" i="11" s="1"/>
  <c r="I124" i="8"/>
  <c r="F231" i="11" s="1"/>
  <c r="G124" i="8"/>
  <c r="E231" i="11" s="1"/>
  <c r="E124" i="8"/>
  <c r="D231" i="11" s="1"/>
  <c r="C124" i="8"/>
  <c r="C231" i="11" s="1"/>
  <c r="K123" i="8"/>
  <c r="G218" i="11" s="1"/>
  <c r="I123" i="8"/>
  <c r="F218" i="11" s="1"/>
  <c r="G123" i="8"/>
  <c r="E218" i="11" s="1"/>
  <c r="E123" i="8"/>
  <c r="D218" i="11" s="1"/>
  <c r="C123" i="8"/>
  <c r="C218" i="11" s="1"/>
  <c r="K122" i="8"/>
  <c r="G205" i="11" s="1"/>
  <c r="I122" i="8"/>
  <c r="F205" i="11" s="1"/>
  <c r="G122" i="8"/>
  <c r="E205" i="11" s="1"/>
  <c r="E122" i="8"/>
  <c r="D205" i="11" s="1"/>
  <c r="C122" i="8"/>
  <c r="C205" i="11" s="1"/>
  <c r="K121" i="8"/>
  <c r="G192" i="11" s="1"/>
  <c r="I121" i="8"/>
  <c r="F192" i="11" s="1"/>
  <c r="G121" i="8"/>
  <c r="E192" i="11" s="1"/>
  <c r="E121" i="8"/>
  <c r="D192" i="11" s="1"/>
  <c r="C121" i="8"/>
  <c r="C192" i="11" s="1"/>
  <c r="K120" i="8"/>
  <c r="G179" i="11" s="1"/>
  <c r="I120" i="8"/>
  <c r="F179" i="11" s="1"/>
  <c r="G120" i="8"/>
  <c r="E179" i="11" s="1"/>
  <c r="E120" i="8"/>
  <c r="D179" i="11" s="1"/>
  <c r="C120" i="8"/>
  <c r="C179" i="11" s="1"/>
  <c r="K119" i="8"/>
  <c r="G166" i="11" s="1"/>
  <c r="I119" i="8"/>
  <c r="F166" i="11" s="1"/>
  <c r="G119" i="8"/>
  <c r="E166" i="11" s="1"/>
  <c r="E119" i="8"/>
  <c r="D166" i="11" s="1"/>
  <c r="C119" i="8"/>
  <c r="C166" i="11" s="1"/>
  <c r="K118" i="8"/>
  <c r="G153" i="11" s="1"/>
  <c r="I118" i="8"/>
  <c r="F153" i="11" s="1"/>
  <c r="G118" i="8"/>
  <c r="E153" i="11" s="1"/>
  <c r="E118" i="8"/>
  <c r="D153" i="11" s="1"/>
  <c r="C118" i="8"/>
  <c r="C153" i="11" s="1"/>
  <c r="K117" i="8"/>
  <c r="I117" i="8"/>
  <c r="F140" i="11" s="1"/>
  <c r="G117" i="8"/>
  <c r="E140" i="11" s="1"/>
  <c r="E117" i="8"/>
  <c r="D140" i="11" s="1"/>
  <c r="C117" i="8"/>
  <c r="C140" i="11" s="1"/>
  <c r="K116" i="8"/>
  <c r="G127" i="11" s="1"/>
  <c r="I116" i="8"/>
  <c r="F127" i="11" s="1"/>
  <c r="G116" i="8"/>
  <c r="E127" i="11" s="1"/>
  <c r="E116" i="8"/>
  <c r="D127" i="11" s="1"/>
  <c r="C116" i="8"/>
  <c r="C127" i="11" s="1"/>
  <c r="K115" i="8"/>
  <c r="G114" i="11" s="1"/>
  <c r="I115" i="8"/>
  <c r="F114" i="11" s="1"/>
  <c r="G115" i="8"/>
  <c r="E114" i="11" s="1"/>
  <c r="E115" i="8"/>
  <c r="D114" i="11" s="1"/>
  <c r="C115" i="8"/>
  <c r="C114" i="11" s="1"/>
  <c r="K114" i="8"/>
  <c r="G101" i="11" s="1"/>
  <c r="I114" i="8"/>
  <c r="F101" i="11" s="1"/>
  <c r="G114" i="8"/>
  <c r="E101" i="11" s="1"/>
  <c r="E114" i="8"/>
  <c r="D101" i="11" s="1"/>
  <c r="C114" i="8"/>
  <c r="C101" i="11" s="1"/>
  <c r="K113" i="8"/>
  <c r="G88" i="11" s="1"/>
  <c r="I113" i="8"/>
  <c r="F88" i="11" s="1"/>
  <c r="G113" i="8"/>
  <c r="E88" i="11" s="1"/>
  <c r="E113" i="8"/>
  <c r="D88" i="11" s="1"/>
  <c r="C113" i="8"/>
  <c r="C88" i="11" s="1"/>
  <c r="K112" i="8"/>
  <c r="G75" i="11" s="1"/>
  <c r="I112" i="8"/>
  <c r="F75" i="11" s="1"/>
  <c r="G112" i="8"/>
  <c r="E75" i="11" s="1"/>
  <c r="E112" i="8"/>
  <c r="D75" i="11" s="1"/>
  <c r="C112" i="8"/>
  <c r="C75" i="11" s="1"/>
  <c r="K111" i="8"/>
  <c r="G62" i="11" s="1"/>
  <c r="I111" i="8"/>
  <c r="F62" i="11" s="1"/>
  <c r="G111" i="8"/>
  <c r="E62" i="11" s="1"/>
  <c r="E111" i="8"/>
  <c r="D62" i="11" s="1"/>
  <c r="C111" i="8"/>
  <c r="C62" i="11" s="1"/>
  <c r="K110" i="8"/>
  <c r="G49" i="11" s="1"/>
  <c r="I110" i="8"/>
  <c r="F49" i="11" s="1"/>
  <c r="G110" i="8"/>
  <c r="E49" i="11" s="1"/>
  <c r="E110" i="8"/>
  <c r="D49" i="11" s="1"/>
  <c r="C110" i="8"/>
  <c r="C49" i="11" s="1"/>
  <c r="K109" i="8"/>
  <c r="G36" i="11" s="1"/>
  <c r="I109" i="8"/>
  <c r="F36" i="11" s="1"/>
  <c r="G109" i="8"/>
  <c r="E36" i="11" s="1"/>
  <c r="E109" i="8"/>
  <c r="D36" i="11" s="1"/>
  <c r="C109" i="8"/>
  <c r="C36" i="11" s="1"/>
  <c r="K108" i="8"/>
  <c r="G23" i="11" s="1"/>
  <c r="I108" i="8"/>
  <c r="F23" i="11" s="1"/>
  <c r="G108" i="8"/>
  <c r="E23" i="11" s="1"/>
  <c r="E108" i="8"/>
  <c r="D23" i="11" s="1"/>
  <c r="C108" i="8"/>
  <c r="C23" i="11" s="1"/>
  <c r="G10" i="11"/>
  <c r="F10" i="11"/>
  <c r="E10" i="11"/>
  <c r="D10" i="11"/>
  <c r="C10" i="11"/>
  <c r="K67" i="8"/>
  <c r="K72" i="8" s="1"/>
  <c r="G10" i="10" s="1"/>
  <c r="I67" i="8"/>
  <c r="I72" i="8" s="1"/>
  <c r="F10" i="10" s="1"/>
  <c r="G67" i="8"/>
  <c r="G72" i="8" s="1"/>
  <c r="E10" i="10" s="1"/>
  <c r="E67" i="8"/>
  <c r="E72" i="8" s="1"/>
  <c r="D10" i="10" s="1"/>
  <c r="C67" i="8"/>
  <c r="C72" i="8" s="1"/>
  <c r="C10" i="10" s="1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K53" i="8"/>
  <c r="I53" i="8"/>
  <c r="G53" i="8"/>
  <c r="E53" i="8"/>
  <c r="C53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I49" i="8"/>
  <c r="G49" i="8"/>
  <c r="E49" i="8"/>
  <c r="C49" i="8"/>
  <c r="K48" i="8"/>
  <c r="G153" i="9" s="1"/>
  <c r="I48" i="8"/>
  <c r="F153" i="9" s="1"/>
  <c r="G48" i="8"/>
  <c r="E153" i="9" s="1"/>
  <c r="E48" i="8"/>
  <c r="D153" i="9" s="1"/>
  <c r="C48" i="8"/>
  <c r="C153" i="9" s="1"/>
  <c r="K47" i="8"/>
  <c r="G140" i="9" s="1"/>
  <c r="I47" i="8"/>
  <c r="F140" i="9" s="1"/>
  <c r="G47" i="8"/>
  <c r="E140" i="9" s="1"/>
  <c r="E47" i="8"/>
  <c r="D140" i="9" s="1"/>
  <c r="C47" i="8"/>
  <c r="C140" i="9" s="1"/>
  <c r="K46" i="8"/>
  <c r="G127" i="9" s="1"/>
  <c r="I46" i="8"/>
  <c r="F127" i="9" s="1"/>
  <c r="G46" i="8"/>
  <c r="E127" i="9" s="1"/>
  <c r="E46" i="8"/>
  <c r="D127" i="9" s="1"/>
  <c r="C46" i="8"/>
  <c r="C127" i="9" s="1"/>
  <c r="K45" i="8"/>
  <c r="G114" i="9" s="1"/>
  <c r="I45" i="8"/>
  <c r="F114" i="9" s="1"/>
  <c r="G45" i="8"/>
  <c r="E114" i="9" s="1"/>
  <c r="E45" i="8"/>
  <c r="D114" i="9" s="1"/>
  <c r="C45" i="8"/>
  <c r="C114" i="9" s="1"/>
  <c r="K44" i="8"/>
  <c r="G101" i="9" s="1"/>
  <c r="I44" i="8"/>
  <c r="F101" i="9" s="1"/>
  <c r="G44" i="8"/>
  <c r="E101" i="9" s="1"/>
  <c r="E44" i="8"/>
  <c r="D101" i="9" s="1"/>
  <c r="C44" i="8"/>
  <c r="C101" i="9" s="1"/>
  <c r="K43" i="8"/>
  <c r="G88" i="9" s="1"/>
  <c r="I43" i="8"/>
  <c r="F88" i="9" s="1"/>
  <c r="G43" i="8"/>
  <c r="E88" i="9" s="1"/>
  <c r="E43" i="8"/>
  <c r="D88" i="9" s="1"/>
  <c r="C43" i="8"/>
  <c r="C88" i="9" s="1"/>
  <c r="K42" i="8"/>
  <c r="G75" i="9" s="1"/>
  <c r="I42" i="8"/>
  <c r="F75" i="9" s="1"/>
  <c r="G42" i="8"/>
  <c r="E75" i="9" s="1"/>
  <c r="E42" i="8"/>
  <c r="D75" i="9" s="1"/>
  <c r="C42" i="8"/>
  <c r="C75" i="9" s="1"/>
  <c r="K41" i="8"/>
  <c r="G62" i="9" s="1"/>
  <c r="I41" i="8"/>
  <c r="F62" i="9" s="1"/>
  <c r="G41" i="8"/>
  <c r="E62" i="9" s="1"/>
  <c r="E41" i="8"/>
  <c r="D62" i="9" s="1"/>
  <c r="C41" i="8"/>
  <c r="C62" i="9" s="1"/>
  <c r="K40" i="8"/>
  <c r="G49" i="9" s="1"/>
  <c r="I40" i="8"/>
  <c r="F49" i="9" s="1"/>
  <c r="G40" i="8"/>
  <c r="E49" i="9" s="1"/>
  <c r="E40" i="8"/>
  <c r="D49" i="9" s="1"/>
  <c r="C40" i="8"/>
  <c r="C49" i="9" s="1"/>
  <c r="K39" i="8"/>
  <c r="G36" i="9" s="1"/>
  <c r="I39" i="8"/>
  <c r="F36" i="9" s="1"/>
  <c r="G39" i="8"/>
  <c r="E36" i="9" s="1"/>
  <c r="E39" i="8"/>
  <c r="D36" i="9" s="1"/>
  <c r="C39" i="8"/>
  <c r="C36" i="9" s="1"/>
  <c r="K38" i="8"/>
  <c r="G23" i="9" s="1"/>
  <c r="I38" i="8"/>
  <c r="F23" i="9" s="1"/>
  <c r="G38" i="8"/>
  <c r="E23" i="9" s="1"/>
  <c r="E38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<sst xmlns="http://schemas.openxmlformats.org/spreadsheetml/2006/main" count="1968" uniqueCount="84">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</sst>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12"/>
      <color rgb="FF000000"/>
      <name val="Yu Gothic"/>
      <family val="3"/>
      <charset val="1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16</xdr:col>
          <xdr:colOff>279400</xdr:colOff>
          <xdr:row>7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N33" sqref="N33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>
        <v>100</v>
      </c>
      <c r="D3" s="3">
        <v>100</v>
      </c>
      <c r="E3" s="2">
        <v>90</v>
      </c>
      <c r="F3" s="3">
        <v>90</v>
      </c>
      <c r="G3" s="2">
        <v>80</v>
      </c>
      <c r="H3" s="3">
        <v>80</v>
      </c>
      <c r="I3" s="2">
        <v>40</v>
      </c>
      <c r="J3" s="3">
        <v>40</v>
      </c>
      <c r="K3" s="2">
        <v>40</v>
      </c>
      <c r="L3" s="3">
        <v>40</v>
      </c>
    </row>
    <row r="4" spans="1:12" ht="18.5" customHeight="1">
      <c r="A4" s="12" t="s">
        <v>7</v>
      </c>
      <c r="B4" s="13">
        <v>44349</v>
      </c>
      <c r="C4" s="4">
        <v>23</v>
      </c>
      <c r="D4" s="5">
        <v>123</v>
      </c>
      <c r="E4" s="4">
        <v>100</v>
      </c>
      <c r="F4" s="5">
        <v>190</v>
      </c>
      <c r="G4" s="4">
        <v>8</v>
      </c>
      <c r="H4" s="5">
        <v>88</v>
      </c>
      <c r="I4" s="4">
        <v>22</v>
      </c>
      <c r="J4" s="5">
        <v>62</v>
      </c>
      <c r="K4" s="4">
        <v>49</v>
      </c>
      <c r="L4" s="5">
        <v>89</v>
      </c>
    </row>
    <row r="5" spans="1:12" ht="18.5" customHeight="1">
      <c r="A5" s="12" t="s">
        <v>8</v>
      </c>
      <c r="B5" s="13">
        <v>44350</v>
      </c>
      <c r="C5" s="4">
        <v>123</v>
      </c>
      <c r="D5" s="5"/>
      <c r="E5" s="4">
        <v>190</v>
      </c>
      <c r="F5" s="5"/>
      <c r="G5" s="4">
        <v>88</v>
      </c>
      <c r="H5" s="5"/>
      <c r="I5" s="4">
        <v>62</v>
      </c>
      <c r="J5" s="5"/>
      <c r="K5" s="4">
        <v>89</v>
      </c>
      <c r="L5" s="5"/>
    </row>
    <row r="6" spans="1:12" ht="18.5" customHeight="1">
      <c r="A6" s="12" t="s">
        <v>9</v>
      </c>
      <c r="B6" s="13">
        <v>44351</v>
      </c>
      <c r="C6" s="4">
        <v>0</v>
      </c>
      <c r="D6" s="5"/>
      <c r="E6" s="4">
        <v>0</v>
      </c>
      <c r="F6" s="5"/>
      <c r="G6" s="4">
        <v>0</v>
      </c>
      <c r="H6" s="5"/>
      <c r="I6" s="4">
        <v>0</v>
      </c>
      <c r="J6" s="5"/>
      <c r="K6" s="4">
        <v>0</v>
      </c>
      <c r="L6" s="5"/>
    </row>
    <row r="7" spans="1:12" ht="18.5" customHeight="1">
      <c r="A7" s="12" t="s">
        <v>10</v>
      </c>
      <c r="B7" s="13">
        <v>44352</v>
      </c>
      <c r="C7" s="4">
        <v>0</v>
      </c>
      <c r="D7" s="5"/>
      <c r="E7" s="4">
        <v>0</v>
      </c>
      <c r="F7" s="5"/>
      <c r="G7" s="4">
        <v>0</v>
      </c>
      <c r="H7" s="5"/>
      <c r="I7" s="4">
        <v>0</v>
      </c>
      <c r="J7" s="5"/>
      <c r="K7" s="4">
        <v>0</v>
      </c>
      <c r="L7" s="5"/>
    </row>
    <row r="8" spans="1:12" ht="18.5" customHeight="1">
      <c r="A8" s="12" t="s">
        <v>11</v>
      </c>
      <c r="B8" s="13">
        <v>44353</v>
      </c>
      <c r="C8" s="4">
        <v>0</v>
      </c>
      <c r="D8" s="5"/>
      <c r="E8" s="4">
        <v>0</v>
      </c>
      <c r="F8" s="5"/>
      <c r="G8" s="4">
        <v>0</v>
      </c>
      <c r="H8" s="5"/>
      <c r="I8" s="4">
        <v>0</v>
      </c>
      <c r="J8" s="5"/>
      <c r="K8" s="4">
        <v>0</v>
      </c>
      <c r="L8" s="5"/>
    </row>
    <row r="9" spans="1:12" ht="18.5" customHeight="1">
      <c r="A9" s="12" t="s">
        <v>12</v>
      </c>
      <c r="B9" s="13">
        <v>44354</v>
      </c>
      <c r="C9" s="4">
        <v>0</v>
      </c>
      <c r="D9" s="5"/>
      <c r="E9" s="4">
        <v>0</v>
      </c>
      <c r="F9" s="5"/>
      <c r="G9" s="4">
        <v>0</v>
      </c>
      <c r="H9" s="5"/>
      <c r="I9" s="4">
        <v>0</v>
      </c>
      <c r="J9" s="5"/>
      <c r="K9" s="4">
        <v>0</v>
      </c>
      <c r="L9" s="5"/>
    </row>
    <row r="10" spans="1:12" ht="18.5" customHeight="1">
      <c r="A10" s="12" t="s">
        <v>13</v>
      </c>
      <c r="B10" s="13">
        <v>44355</v>
      </c>
      <c r="C10" s="4">
        <v>0</v>
      </c>
      <c r="D10" s="5"/>
      <c r="E10" s="4">
        <v>0</v>
      </c>
      <c r="F10" s="5"/>
      <c r="G10" s="4">
        <v>0</v>
      </c>
      <c r="H10" s="5"/>
      <c r="I10" s="4">
        <v>0</v>
      </c>
      <c r="J10" s="5"/>
      <c r="K10" s="4">
        <v>0</v>
      </c>
      <c r="L10" s="5"/>
    </row>
    <row r="11" spans="1:12" ht="18.5" customHeight="1">
      <c r="A11" s="12" t="s">
        <v>14</v>
      </c>
      <c r="B11" s="13">
        <v>44356</v>
      </c>
      <c r="C11" s="4">
        <v>0</v>
      </c>
      <c r="D11" s="5"/>
      <c r="E11" s="4">
        <v>0</v>
      </c>
      <c r="F11" s="5"/>
      <c r="G11" s="4">
        <v>0</v>
      </c>
      <c r="H11" s="5"/>
      <c r="I11" s="4">
        <v>0</v>
      </c>
      <c r="J11" s="5"/>
      <c r="K11" s="4">
        <v>0</v>
      </c>
      <c r="L11" s="5"/>
    </row>
    <row r="12" spans="1:12" ht="18.5" customHeight="1">
      <c r="A12" s="12" t="s">
        <v>15</v>
      </c>
      <c r="B12" s="13">
        <v>44357</v>
      </c>
      <c r="C12" s="4">
        <v>0</v>
      </c>
      <c r="D12" s="5"/>
      <c r="E12" s="4">
        <v>0</v>
      </c>
      <c r="F12" s="5"/>
      <c r="G12" s="4">
        <v>0</v>
      </c>
      <c r="H12" s="5"/>
      <c r="I12" s="4">
        <v>0</v>
      </c>
      <c r="J12" s="5"/>
      <c r="K12" s="4">
        <v>0</v>
      </c>
      <c r="L12" s="5"/>
    </row>
    <row r="13" spans="1:12" ht="18.5" customHeight="1">
      <c r="A13" s="12" t="s">
        <v>16</v>
      </c>
      <c r="B13" s="13">
        <v>44358</v>
      </c>
      <c r="C13" s="4">
        <v>0</v>
      </c>
      <c r="D13" s="5"/>
      <c r="E13" s="4">
        <v>0</v>
      </c>
      <c r="F13" s="5"/>
      <c r="G13" s="4">
        <v>0</v>
      </c>
      <c r="H13" s="5"/>
      <c r="I13" s="4">
        <v>0</v>
      </c>
      <c r="J13" s="5"/>
      <c r="K13" s="4">
        <v>0</v>
      </c>
      <c r="L13" s="5"/>
    </row>
    <row r="14" spans="1:12" ht="18.5" customHeight="1">
      <c r="A14" s="12" t="s">
        <v>17</v>
      </c>
      <c r="B14" s="13">
        <v>44359</v>
      </c>
      <c r="C14" s="4">
        <v>0</v>
      </c>
      <c r="D14" s="5"/>
      <c r="E14" s="4">
        <v>0</v>
      </c>
      <c r="F14" s="5"/>
      <c r="G14" s="4">
        <v>0</v>
      </c>
      <c r="H14" s="5"/>
      <c r="I14" s="4">
        <v>0</v>
      </c>
      <c r="J14" s="5"/>
      <c r="K14" s="4">
        <v>0</v>
      </c>
      <c r="L14" s="5"/>
    </row>
    <row r="15" spans="1:12" ht="18.5" customHeight="1">
      <c r="A15" s="12" t="s">
        <v>18</v>
      </c>
      <c r="B15" s="13">
        <v>44360</v>
      </c>
      <c r="C15" s="4">
        <v>0</v>
      </c>
      <c r="D15" s="5"/>
      <c r="E15" s="4">
        <v>0</v>
      </c>
      <c r="F15" s="5"/>
      <c r="G15" s="4">
        <v>0</v>
      </c>
      <c r="H15" s="5"/>
      <c r="I15" s="4">
        <v>0</v>
      </c>
      <c r="J15" s="5"/>
      <c r="K15" s="4">
        <v>0</v>
      </c>
      <c r="L15" s="5"/>
    </row>
    <row r="16" spans="1:12" ht="18.5" customHeight="1">
      <c r="A16" s="12" t="s">
        <v>19</v>
      </c>
      <c r="B16" s="13">
        <v>44361</v>
      </c>
      <c r="C16" s="4">
        <v>0</v>
      </c>
      <c r="D16" s="5"/>
      <c r="E16" s="4">
        <v>0</v>
      </c>
      <c r="F16" s="5"/>
      <c r="G16" s="4">
        <v>0</v>
      </c>
      <c r="H16" s="5"/>
      <c r="I16" s="4">
        <v>0</v>
      </c>
      <c r="J16" s="5"/>
      <c r="K16" s="4">
        <v>0</v>
      </c>
      <c r="L16" s="5"/>
    </row>
    <row r="17" spans="1:12" ht="18.5" customHeight="1">
      <c r="A17" s="12" t="s">
        <v>20</v>
      </c>
      <c r="B17" s="13">
        <v>44362</v>
      </c>
      <c r="C17" s="4">
        <v>0</v>
      </c>
      <c r="D17" s="5"/>
      <c r="E17" s="4">
        <v>0</v>
      </c>
      <c r="F17" s="5"/>
      <c r="G17" s="4">
        <v>0</v>
      </c>
      <c r="H17" s="5"/>
      <c r="I17" s="4">
        <v>0</v>
      </c>
      <c r="J17" s="5"/>
      <c r="K17" s="4">
        <v>0</v>
      </c>
      <c r="L17" s="5"/>
    </row>
    <row r="18" spans="1:12" ht="18.5" customHeight="1">
      <c r="A18" s="12" t="s">
        <v>21</v>
      </c>
      <c r="B18" s="13">
        <v>44363</v>
      </c>
      <c r="C18" s="4">
        <v>0</v>
      </c>
      <c r="D18" s="5"/>
      <c r="E18" s="4">
        <v>0</v>
      </c>
      <c r="F18" s="5"/>
      <c r="G18" s="4">
        <v>0</v>
      </c>
      <c r="H18" s="5"/>
      <c r="I18" s="4">
        <v>0</v>
      </c>
      <c r="J18" s="5"/>
      <c r="K18" s="4">
        <v>0</v>
      </c>
      <c r="L18" s="5"/>
    </row>
    <row r="19" spans="1:12" ht="18.5" customHeight="1">
      <c r="A19" s="12" t="s">
        <v>22</v>
      </c>
      <c r="B19" s="13">
        <v>44364</v>
      </c>
      <c r="C19" s="4">
        <v>0</v>
      </c>
      <c r="D19" s="5"/>
      <c r="E19" s="4">
        <v>0</v>
      </c>
      <c r="F19" s="5"/>
      <c r="G19" s="4">
        <v>0</v>
      </c>
      <c r="H19" s="5"/>
      <c r="I19" s="4">
        <v>0</v>
      </c>
      <c r="J19" s="5"/>
      <c r="K19" s="4">
        <v>0</v>
      </c>
      <c r="L19" s="5"/>
    </row>
    <row r="20" spans="1:12" ht="18.5" customHeight="1">
      <c r="A20" s="12" t="s">
        <v>23</v>
      </c>
      <c r="B20" s="13">
        <v>44365</v>
      </c>
      <c r="C20" s="4">
        <v>0</v>
      </c>
      <c r="D20" s="5"/>
      <c r="E20" s="4">
        <v>0</v>
      </c>
      <c r="F20" s="5"/>
      <c r="G20" s="4">
        <v>0</v>
      </c>
      <c r="H20" s="5"/>
      <c r="I20" s="4">
        <v>0</v>
      </c>
      <c r="J20" s="5"/>
      <c r="K20" s="4">
        <v>0</v>
      </c>
      <c r="L20" s="5"/>
    </row>
    <row r="21" spans="1:12" ht="18.5" customHeight="1">
      <c r="A21" s="12" t="s">
        <v>24</v>
      </c>
      <c r="B21" s="13">
        <v>44366</v>
      </c>
      <c r="C21" s="4">
        <v>0</v>
      </c>
      <c r="D21" s="5"/>
      <c r="E21" s="4">
        <v>0</v>
      </c>
      <c r="F21" s="5"/>
      <c r="G21" s="4">
        <v>0</v>
      </c>
      <c r="H21" s="5"/>
      <c r="I21" s="4">
        <v>0</v>
      </c>
      <c r="J21" s="5"/>
      <c r="K21" s="4">
        <v>0</v>
      </c>
      <c r="L21" s="5"/>
    </row>
    <row r="22" spans="1:12" ht="18.5" customHeight="1">
      <c r="A22" s="12" t="s">
        <v>25</v>
      </c>
      <c r="B22" s="13">
        <v>44367</v>
      </c>
      <c r="C22" s="4">
        <v>0</v>
      </c>
      <c r="D22" s="5"/>
      <c r="E22" s="4">
        <v>0</v>
      </c>
      <c r="F22" s="5"/>
      <c r="G22" s="4">
        <v>0</v>
      </c>
      <c r="H22" s="5"/>
      <c r="I22" s="4">
        <v>0</v>
      </c>
      <c r="J22" s="5"/>
      <c r="K22" s="4">
        <v>0</v>
      </c>
      <c r="L22" s="5"/>
    </row>
    <row r="23" spans="1:12" ht="18.5" customHeight="1">
      <c r="A23" s="12" t="s">
        <v>26</v>
      </c>
      <c r="B23" s="13">
        <v>44368</v>
      </c>
      <c r="C23" s="4">
        <v>0</v>
      </c>
      <c r="D23" s="5"/>
      <c r="E23" s="4">
        <v>0</v>
      </c>
      <c r="F23" s="5"/>
      <c r="G23" s="4">
        <v>0</v>
      </c>
      <c r="H23" s="5"/>
      <c r="I23" s="4">
        <v>0</v>
      </c>
      <c r="J23" s="5"/>
      <c r="K23" s="4">
        <v>0</v>
      </c>
      <c r="L23" s="5"/>
    </row>
    <row r="24" spans="1:12" ht="18.5" customHeight="1">
      <c r="A24" s="12" t="s">
        <v>27</v>
      </c>
      <c r="B24" s="13">
        <v>44369</v>
      </c>
      <c r="C24" s="4">
        <v>0</v>
      </c>
      <c r="D24" s="5"/>
      <c r="E24" s="4">
        <v>0</v>
      </c>
      <c r="F24" s="5"/>
      <c r="G24" s="4">
        <v>0</v>
      </c>
      <c r="H24" s="5"/>
      <c r="I24" s="4">
        <v>0</v>
      </c>
      <c r="J24" s="5"/>
      <c r="K24" s="4">
        <v>0</v>
      </c>
      <c r="L24" s="5"/>
    </row>
    <row r="25" spans="1:12" ht="18.5" customHeight="1">
      <c r="A25" s="12" t="s">
        <v>28</v>
      </c>
      <c r="B25" s="13">
        <v>44370</v>
      </c>
      <c r="C25" s="4">
        <v>0</v>
      </c>
      <c r="D25" s="5"/>
      <c r="E25" s="4">
        <v>0</v>
      </c>
      <c r="F25" s="5"/>
      <c r="G25" s="4">
        <v>0</v>
      </c>
      <c r="H25" s="5"/>
      <c r="I25" s="4">
        <v>0</v>
      </c>
      <c r="J25" s="5"/>
      <c r="K25" s="4">
        <v>0</v>
      </c>
      <c r="L25" s="5"/>
    </row>
    <row r="26" spans="1:12" ht="18.5" customHeight="1">
      <c r="A26" s="12" t="s">
        <v>29</v>
      </c>
      <c r="B26" s="13">
        <v>44371</v>
      </c>
      <c r="C26" s="4">
        <v>0</v>
      </c>
      <c r="D26" s="5"/>
      <c r="E26" s="4">
        <v>0</v>
      </c>
      <c r="F26" s="5"/>
      <c r="G26" s="4">
        <v>0</v>
      </c>
      <c r="H26" s="5"/>
      <c r="I26" s="4">
        <v>0</v>
      </c>
      <c r="J26" s="5"/>
      <c r="K26" s="4">
        <v>0</v>
      </c>
      <c r="L26" s="5"/>
    </row>
    <row r="27" spans="1:12" ht="18.5" customHeight="1">
      <c r="A27" s="12" t="s">
        <v>30</v>
      </c>
      <c r="B27" s="13">
        <v>44372</v>
      </c>
      <c r="C27" s="4">
        <v>0</v>
      </c>
      <c r="D27" s="5"/>
      <c r="E27" s="4">
        <v>0</v>
      </c>
      <c r="F27" s="5"/>
      <c r="G27" s="4">
        <v>0</v>
      </c>
      <c r="H27" s="5"/>
      <c r="I27" s="4">
        <v>0</v>
      </c>
      <c r="J27" s="5"/>
      <c r="K27" s="4">
        <v>0</v>
      </c>
      <c r="L27" s="5"/>
    </row>
    <row r="28" spans="1:12" ht="18.5" customHeight="1">
      <c r="A28" s="12" t="s">
        <v>31</v>
      </c>
      <c r="B28" s="13">
        <v>44373</v>
      </c>
      <c r="C28" s="4">
        <v>0</v>
      </c>
      <c r="D28" s="5"/>
      <c r="E28" s="4">
        <v>0</v>
      </c>
      <c r="F28" s="5"/>
      <c r="G28" s="4">
        <v>0</v>
      </c>
      <c r="H28" s="5"/>
      <c r="I28" s="4">
        <v>0</v>
      </c>
      <c r="J28" s="5"/>
      <c r="K28" s="4">
        <v>0</v>
      </c>
      <c r="L28" s="5"/>
    </row>
    <row r="29" spans="1:12" ht="18.5" customHeight="1">
      <c r="A29" s="12" t="s">
        <v>32</v>
      </c>
      <c r="B29" s="13">
        <v>44374</v>
      </c>
      <c r="C29" s="4">
        <v>0</v>
      </c>
      <c r="D29" s="5"/>
      <c r="E29" s="4">
        <v>0</v>
      </c>
      <c r="F29" s="5"/>
      <c r="G29" s="4">
        <v>0</v>
      </c>
      <c r="H29" s="5"/>
      <c r="I29" s="4">
        <v>0</v>
      </c>
      <c r="J29" s="5"/>
      <c r="K29" s="4">
        <v>0</v>
      </c>
      <c r="L29" s="5"/>
    </row>
    <row r="30" spans="1:12" ht="18.5" customHeight="1">
      <c r="A30" s="12" t="s">
        <v>33</v>
      </c>
      <c r="B30" s="13">
        <v>44375</v>
      </c>
      <c r="C30" s="4">
        <v>0</v>
      </c>
      <c r="D30" s="5"/>
      <c r="E30" s="4">
        <v>0</v>
      </c>
      <c r="F30" s="5"/>
      <c r="G30" s="4">
        <v>0</v>
      </c>
      <c r="H30" s="5"/>
      <c r="I30" s="4">
        <v>0</v>
      </c>
      <c r="J30" s="5"/>
      <c r="K30" s="4">
        <v>0</v>
      </c>
      <c r="L30" s="5"/>
    </row>
    <row r="31" spans="1:12" ht="18.5" customHeight="1">
      <c r="A31" s="12" t="s">
        <v>34</v>
      </c>
      <c r="B31" s="13">
        <v>44376</v>
      </c>
      <c r="C31" s="4">
        <v>0</v>
      </c>
      <c r="D31" s="5"/>
      <c r="E31" s="4">
        <v>0</v>
      </c>
      <c r="F31" s="5"/>
      <c r="G31" s="4">
        <v>0</v>
      </c>
      <c r="H31" s="5"/>
      <c r="I31" s="4">
        <v>0</v>
      </c>
      <c r="J31" s="5"/>
      <c r="K31" s="4">
        <v>0</v>
      </c>
      <c r="L31" s="5"/>
    </row>
    <row r="32" spans="1:12" ht="18.5" customHeight="1">
      <c r="A32" s="12" t="s">
        <v>35</v>
      </c>
      <c r="B32" s="13">
        <v>44377</v>
      </c>
      <c r="C32" s="4">
        <v>0</v>
      </c>
      <c r="D32" s="5"/>
      <c r="E32" s="4">
        <v>0</v>
      </c>
      <c r="F32" s="5"/>
      <c r="G32" s="4">
        <v>0</v>
      </c>
      <c r="H32" s="5"/>
      <c r="I32" s="4">
        <v>0</v>
      </c>
      <c r="J32" s="5"/>
      <c r="K32" s="4">
        <v>0</v>
      </c>
      <c r="L32" s="5"/>
    </row>
    <row r="33" spans="1:12" ht="18.5" customHeight="1" thickBot="1">
      <c r="A33" s="14" t="s">
        <v>36</v>
      </c>
      <c r="B33" s="7"/>
      <c r="C33" s="6">
        <v>0</v>
      </c>
      <c r="D33" s="7"/>
      <c r="E33" s="6">
        <v>0</v>
      </c>
      <c r="F33" s="7"/>
      <c r="G33" s="6">
        <v>0</v>
      </c>
      <c r="H33" s="7"/>
      <c r="I33" s="6">
        <v>0</v>
      </c>
      <c r="J33" s="7"/>
      <c r="K33" s="6"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>ABS(D38-D37)</f>
        <v>0</v>
      </c>
      <c r="D38" s="45"/>
      <c r="E38" s="44">
        <f t="shared" ref="E38:E68" si="0">ABS(F38-F37)</f>
        <v>0</v>
      </c>
      <c r="F38" s="45"/>
      <c r="G38" s="44">
        <f t="shared" ref="G38:G68" si="1">ABS(H38-H37)</f>
        <v>0</v>
      </c>
      <c r="H38" s="45"/>
      <c r="I38" s="44">
        <f t="shared" ref="I38:I68" si="2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ref="C38:C68" si="3">ABS(D39-D38)</f>
        <v>0</v>
      </c>
      <c r="D39" s="43"/>
      <c r="E39" s="42">
        <f t="shared" si="0"/>
        <v>0</v>
      </c>
      <c r="F39" s="43"/>
      <c r="G39" s="42">
        <f t="shared" si="1"/>
        <v>0</v>
      </c>
      <c r="H39" s="43"/>
      <c r="I39" s="42">
        <f t="shared" si="2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3"/>
        <v>0</v>
      </c>
      <c r="D40" s="5"/>
      <c r="E40" s="4">
        <f t="shared" si="0"/>
        <v>0</v>
      </c>
      <c r="F40" s="5"/>
      <c r="G40" s="4">
        <f t="shared" si="1"/>
        <v>0</v>
      </c>
      <c r="H40" s="5"/>
      <c r="I40" s="4">
        <f t="shared" si="2"/>
        <v>0</v>
      </c>
      <c r="J40" s="5"/>
      <c r="K40" s="4">
        <f t="shared" ref="K40:K68" si="4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3"/>
        <v>0</v>
      </c>
      <c r="D41" s="5"/>
      <c r="E41" s="4">
        <f t="shared" si="0"/>
        <v>0</v>
      </c>
      <c r="F41" s="5"/>
      <c r="G41" s="4">
        <f t="shared" si="1"/>
        <v>0</v>
      </c>
      <c r="H41" s="5"/>
      <c r="I41" s="4">
        <f t="shared" si="2"/>
        <v>0</v>
      </c>
      <c r="J41" s="5"/>
      <c r="K41" s="4">
        <f t="shared" si="4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3"/>
        <v>0</v>
      </c>
      <c r="D42" s="5"/>
      <c r="E42" s="4">
        <f t="shared" si="0"/>
        <v>0</v>
      </c>
      <c r="F42" s="5"/>
      <c r="G42" s="4">
        <f t="shared" si="1"/>
        <v>0</v>
      </c>
      <c r="H42" s="5"/>
      <c r="I42" s="4">
        <f t="shared" si="2"/>
        <v>0</v>
      </c>
      <c r="J42" s="5"/>
      <c r="K42" s="4">
        <f t="shared" si="4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3"/>
        <v>0</v>
      </c>
      <c r="D43" s="5"/>
      <c r="E43" s="4">
        <f t="shared" si="0"/>
        <v>0</v>
      </c>
      <c r="F43" s="5"/>
      <c r="G43" s="4">
        <f t="shared" si="1"/>
        <v>0</v>
      </c>
      <c r="H43" s="5"/>
      <c r="I43" s="4">
        <f t="shared" si="2"/>
        <v>0</v>
      </c>
      <c r="J43" s="5"/>
      <c r="K43" s="4">
        <f t="shared" si="4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3"/>
        <v>0</v>
      </c>
      <c r="D44" s="5"/>
      <c r="E44" s="4">
        <f t="shared" si="0"/>
        <v>0</v>
      </c>
      <c r="F44" s="5"/>
      <c r="G44" s="4">
        <f t="shared" si="1"/>
        <v>0</v>
      </c>
      <c r="H44" s="5"/>
      <c r="I44" s="4">
        <f t="shared" si="2"/>
        <v>0</v>
      </c>
      <c r="J44" s="5"/>
      <c r="K44" s="4">
        <f t="shared" si="4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3"/>
        <v>0</v>
      </c>
      <c r="D45" s="5"/>
      <c r="E45" s="4">
        <f t="shared" si="0"/>
        <v>0</v>
      </c>
      <c r="F45" s="5"/>
      <c r="G45" s="4">
        <f t="shared" si="1"/>
        <v>0</v>
      </c>
      <c r="H45" s="5"/>
      <c r="I45" s="4">
        <f t="shared" si="2"/>
        <v>0</v>
      </c>
      <c r="J45" s="5"/>
      <c r="K45" s="4">
        <f t="shared" si="4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3"/>
        <v>0</v>
      </c>
      <c r="D46" s="5"/>
      <c r="E46" s="4">
        <f t="shared" si="0"/>
        <v>0</v>
      </c>
      <c r="F46" s="5"/>
      <c r="G46" s="4">
        <f t="shared" si="1"/>
        <v>0</v>
      </c>
      <c r="H46" s="5"/>
      <c r="I46" s="4">
        <f t="shared" si="2"/>
        <v>0</v>
      </c>
      <c r="J46" s="5"/>
      <c r="K46" s="4">
        <f t="shared" si="4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3"/>
        <v>0</v>
      </c>
      <c r="D47" s="5"/>
      <c r="E47" s="4">
        <f t="shared" si="0"/>
        <v>0</v>
      </c>
      <c r="F47" s="5"/>
      <c r="G47" s="4">
        <f t="shared" si="1"/>
        <v>0</v>
      </c>
      <c r="H47" s="5"/>
      <c r="I47" s="4">
        <f t="shared" si="2"/>
        <v>0</v>
      </c>
      <c r="J47" s="5"/>
      <c r="K47" s="4">
        <f t="shared" si="4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3"/>
        <v>0</v>
      </c>
      <c r="D48" s="5"/>
      <c r="E48" s="4">
        <f t="shared" si="0"/>
        <v>0</v>
      </c>
      <c r="F48" s="5"/>
      <c r="G48" s="4">
        <f t="shared" si="1"/>
        <v>0</v>
      </c>
      <c r="H48" s="5"/>
      <c r="I48" s="4">
        <f t="shared" si="2"/>
        <v>0</v>
      </c>
      <c r="J48" s="5"/>
      <c r="K48" s="4">
        <f t="shared" si="4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3"/>
        <v>0</v>
      </c>
      <c r="D49" s="5"/>
      <c r="E49" s="4">
        <f t="shared" si="0"/>
        <v>0</v>
      </c>
      <c r="F49" s="5"/>
      <c r="G49" s="4">
        <f t="shared" si="1"/>
        <v>0</v>
      </c>
      <c r="H49" s="5"/>
      <c r="I49" s="4">
        <f t="shared" si="2"/>
        <v>0</v>
      </c>
      <c r="J49" s="5"/>
      <c r="K49" s="4">
        <f t="shared" si="4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3"/>
        <v>0</v>
      </c>
      <c r="D50" s="5"/>
      <c r="E50" s="4">
        <f t="shared" si="0"/>
        <v>0</v>
      </c>
      <c r="F50" s="5"/>
      <c r="G50" s="4">
        <f t="shared" si="1"/>
        <v>0</v>
      </c>
      <c r="H50" s="5"/>
      <c r="I50" s="4">
        <f t="shared" si="2"/>
        <v>0</v>
      </c>
      <c r="J50" s="5"/>
      <c r="K50" s="4">
        <f t="shared" si="4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3"/>
        <v>0</v>
      </c>
      <c r="D51" s="5"/>
      <c r="E51" s="4">
        <f t="shared" si="0"/>
        <v>0</v>
      </c>
      <c r="F51" s="5"/>
      <c r="G51" s="4">
        <f t="shared" si="1"/>
        <v>0</v>
      </c>
      <c r="H51" s="5"/>
      <c r="I51" s="4">
        <f t="shared" si="2"/>
        <v>0</v>
      </c>
      <c r="J51" s="5"/>
      <c r="K51" s="4">
        <f t="shared" si="4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3"/>
        <v>0</v>
      </c>
      <c r="D52" s="5"/>
      <c r="E52" s="4">
        <f t="shared" si="0"/>
        <v>0</v>
      </c>
      <c r="F52" s="5"/>
      <c r="G52" s="4">
        <f t="shared" si="1"/>
        <v>0</v>
      </c>
      <c r="H52" s="5"/>
      <c r="I52" s="4">
        <f t="shared" si="2"/>
        <v>0</v>
      </c>
      <c r="J52" s="5"/>
      <c r="K52" s="4">
        <f t="shared" si="4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3"/>
        <v>0</v>
      </c>
      <c r="D53" s="5"/>
      <c r="E53" s="4">
        <f t="shared" si="0"/>
        <v>0</v>
      </c>
      <c r="F53" s="5"/>
      <c r="G53" s="4">
        <f t="shared" si="1"/>
        <v>0</v>
      </c>
      <c r="H53" s="5"/>
      <c r="I53" s="4">
        <f t="shared" si="2"/>
        <v>0</v>
      </c>
      <c r="J53" s="5"/>
      <c r="K53" s="4">
        <f t="shared" si="4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3"/>
        <v>0</v>
      </c>
      <c r="D54" s="5"/>
      <c r="E54" s="4">
        <f t="shared" si="0"/>
        <v>0</v>
      </c>
      <c r="F54" s="5"/>
      <c r="G54" s="4">
        <f t="shared" si="1"/>
        <v>0</v>
      </c>
      <c r="H54" s="5"/>
      <c r="I54" s="4">
        <f t="shared" si="2"/>
        <v>0</v>
      </c>
      <c r="J54" s="5"/>
      <c r="K54" s="4">
        <f t="shared" si="4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3"/>
        <v>0</v>
      </c>
      <c r="D55" s="5"/>
      <c r="E55" s="4">
        <f t="shared" si="0"/>
        <v>0</v>
      </c>
      <c r="F55" s="5"/>
      <c r="G55" s="4">
        <f t="shared" si="1"/>
        <v>0</v>
      </c>
      <c r="H55" s="5"/>
      <c r="I55" s="4">
        <f t="shared" si="2"/>
        <v>0</v>
      </c>
      <c r="J55" s="5"/>
      <c r="K55" s="4">
        <f t="shared" si="4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3"/>
        <v>0</v>
      </c>
      <c r="D56" s="5"/>
      <c r="E56" s="4">
        <f t="shared" si="0"/>
        <v>0</v>
      </c>
      <c r="F56" s="5"/>
      <c r="G56" s="4">
        <f t="shared" si="1"/>
        <v>0</v>
      </c>
      <c r="H56" s="5"/>
      <c r="I56" s="4">
        <f t="shared" si="2"/>
        <v>0</v>
      </c>
      <c r="J56" s="5"/>
      <c r="K56" s="4">
        <f t="shared" si="4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3"/>
        <v>0</v>
      </c>
      <c r="D57" s="5"/>
      <c r="E57" s="4">
        <f t="shared" si="0"/>
        <v>0</v>
      </c>
      <c r="F57" s="5"/>
      <c r="G57" s="4">
        <f t="shared" si="1"/>
        <v>0</v>
      </c>
      <c r="H57" s="5"/>
      <c r="I57" s="4">
        <f t="shared" si="2"/>
        <v>0</v>
      </c>
      <c r="J57" s="5"/>
      <c r="K57" s="4">
        <f t="shared" si="4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3"/>
        <v>0</v>
      </c>
      <c r="D58" s="5"/>
      <c r="E58" s="4">
        <f t="shared" si="0"/>
        <v>0</v>
      </c>
      <c r="F58" s="5"/>
      <c r="G58" s="4">
        <f t="shared" si="1"/>
        <v>0</v>
      </c>
      <c r="H58" s="5"/>
      <c r="I58" s="4">
        <f t="shared" si="2"/>
        <v>0</v>
      </c>
      <c r="J58" s="5"/>
      <c r="K58" s="4">
        <f t="shared" si="4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3"/>
        <v>0</v>
      </c>
      <c r="D59" s="5"/>
      <c r="E59" s="4">
        <f t="shared" si="0"/>
        <v>0</v>
      </c>
      <c r="F59" s="5"/>
      <c r="G59" s="4">
        <f t="shared" si="1"/>
        <v>0</v>
      </c>
      <c r="H59" s="5"/>
      <c r="I59" s="4">
        <f t="shared" si="2"/>
        <v>0</v>
      </c>
      <c r="J59" s="5"/>
      <c r="K59" s="4">
        <f t="shared" si="4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3"/>
        <v>0</v>
      </c>
      <c r="D60" s="5"/>
      <c r="E60" s="4">
        <f t="shared" si="0"/>
        <v>0</v>
      </c>
      <c r="F60" s="5"/>
      <c r="G60" s="4">
        <f t="shared" si="1"/>
        <v>0</v>
      </c>
      <c r="H60" s="5"/>
      <c r="I60" s="4">
        <f t="shared" si="2"/>
        <v>0</v>
      </c>
      <c r="J60" s="5"/>
      <c r="K60" s="4">
        <f t="shared" si="4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3"/>
        <v>0</v>
      </c>
      <c r="D61" s="5"/>
      <c r="E61" s="4">
        <f t="shared" si="0"/>
        <v>0</v>
      </c>
      <c r="F61" s="5"/>
      <c r="G61" s="4">
        <f t="shared" si="1"/>
        <v>0</v>
      </c>
      <c r="H61" s="5"/>
      <c r="I61" s="4">
        <f t="shared" si="2"/>
        <v>0</v>
      </c>
      <c r="J61" s="5"/>
      <c r="K61" s="4">
        <f t="shared" si="4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3"/>
        <v>0</v>
      </c>
      <c r="D62" s="5"/>
      <c r="E62" s="4">
        <f t="shared" si="0"/>
        <v>0</v>
      </c>
      <c r="F62" s="5"/>
      <c r="G62" s="4">
        <f t="shared" si="1"/>
        <v>0</v>
      </c>
      <c r="H62" s="5"/>
      <c r="I62" s="4">
        <f t="shared" si="2"/>
        <v>0</v>
      </c>
      <c r="J62" s="5"/>
      <c r="K62" s="4">
        <f t="shared" si="4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3"/>
        <v>0</v>
      </c>
      <c r="D63" s="5"/>
      <c r="E63" s="4">
        <f t="shared" si="0"/>
        <v>0</v>
      </c>
      <c r="F63" s="5"/>
      <c r="G63" s="4">
        <f t="shared" si="1"/>
        <v>0</v>
      </c>
      <c r="H63" s="5"/>
      <c r="I63" s="4">
        <f t="shared" si="2"/>
        <v>0</v>
      </c>
      <c r="J63" s="5"/>
      <c r="K63" s="4">
        <f t="shared" si="4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3"/>
        <v>0</v>
      </c>
      <c r="D64" s="5"/>
      <c r="E64" s="4">
        <f t="shared" si="0"/>
        <v>0</v>
      </c>
      <c r="F64" s="5"/>
      <c r="G64" s="4">
        <f t="shared" si="1"/>
        <v>0</v>
      </c>
      <c r="H64" s="5"/>
      <c r="I64" s="4">
        <f t="shared" si="2"/>
        <v>0</v>
      </c>
      <c r="J64" s="5"/>
      <c r="K64" s="4">
        <f t="shared" si="4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3"/>
        <v>0</v>
      </c>
      <c r="D65" s="5"/>
      <c r="E65" s="4">
        <f t="shared" si="0"/>
        <v>0</v>
      </c>
      <c r="F65" s="5"/>
      <c r="G65" s="4">
        <f t="shared" si="1"/>
        <v>0</v>
      </c>
      <c r="H65" s="5"/>
      <c r="I65" s="4">
        <f t="shared" si="2"/>
        <v>0</v>
      </c>
      <c r="J65" s="5"/>
      <c r="K65" s="4">
        <f t="shared" si="4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3"/>
        <v>0</v>
      </c>
      <c r="D66" s="5"/>
      <c r="E66" s="4">
        <f t="shared" si="0"/>
        <v>0</v>
      </c>
      <c r="F66" s="5"/>
      <c r="G66" s="4">
        <f t="shared" si="1"/>
        <v>0</v>
      </c>
      <c r="H66" s="5"/>
      <c r="I66" s="4">
        <f t="shared" si="2"/>
        <v>0</v>
      </c>
      <c r="J66" s="5"/>
      <c r="K66" s="4">
        <f t="shared" si="4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3"/>
        <v>0</v>
      </c>
      <c r="D67" s="5"/>
      <c r="E67" s="4">
        <f t="shared" si="0"/>
        <v>0</v>
      </c>
      <c r="F67" s="5"/>
      <c r="G67" s="4">
        <f t="shared" si="1"/>
        <v>0</v>
      </c>
      <c r="H67" s="5"/>
      <c r="I67" s="4">
        <f t="shared" si="2"/>
        <v>0</v>
      </c>
      <c r="J67" s="5"/>
      <c r="K67" s="4">
        <f t="shared" si="4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3"/>
        <v>0</v>
      </c>
      <c r="D68" s="7"/>
      <c r="E68" s="6">
        <f t="shared" si="0"/>
        <v>0</v>
      </c>
      <c r="F68" s="7"/>
      <c r="G68" s="6">
        <f t="shared" si="1"/>
        <v>0</v>
      </c>
      <c r="H68" s="7"/>
      <c r="I68" s="6">
        <f t="shared" si="2"/>
        <v>0</v>
      </c>
      <c r="J68" s="7"/>
      <c r="K68" s="6">
        <f t="shared" si="4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5">ABS(F74-F73)</f>
        <v>0</v>
      </c>
      <c r="F74" s="5"/>
      <c r="G74" s="4">
        <f t="shared" ref="G74:G103" si="6">ABS(H74-H73)</f>
        <v>0</v>
      </c>
      <c r="H74" s="5"/>
      <c r="I74" s="4">
        <f t="shared" ref="I74:I103" si="7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8">ABS(D75-D74)</f>
        <v>0</v>
      </c>
      <c r="D75" s="5"/>
      <c r="E75" s="4">
        <f t="shared" si="5"/>
        <v>0</v>
      </c>
      <c r="F75" s="5"/>
      <c r="G75" s="4">
        <f t="shared" si="6"/>
        <v>0</v>
      </c>
      <c r="H75" s="5"/>
      <c r="I75" s="4">
        <f t="shared" si="7"/>
        <v>0</v>
      </c>
      <c r="J75" s="5"/>
      <c r="K75" s="4">
        <f t="shared" ref="K75:K103" si="9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8"/>
        <v>0</v>
      </c>
      <c r="D76" s="5"/>
      <c r="E76" s="4">
        <f t="shared" si="5"/>
        <v>0</v>
      </c>
      <c r="F76" s="5"/>
      <c r="G76" s="4">
        <f t="shared" si="6"/>
        <v>0</v>
      </c>
      <c r="H76" s="5"/>
      <c r="I76" s="4">
        <f t="shared" si="7"/>
        <v>0</v>
      </c>
      <c r="J76" s="5"/>
      <c r="K76" s="4">
        <f t="shared" si="9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8"/>
        <v>0</v>
      </c>
      <c r="D77" s="5"/>
      <c r="E77" s="4">
        <f t="shared" si="5"/>
        <v>0</v>
      </c>
      <c r="F77" s="5"/>
      <c r="G77" s="4">
        <f t="shared" si="6"/>
        <v>0</v>
      </c>
      <c r="H77" s="5"/>
      <c r="I77" s="4">
        <f t="shared" si="7"/>
        <v>0</v>
      </c>
      <c r="J77" s="5"/>
      <c r="K77" s="4">
        <f t="shared" si="9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8"/>
        <v>0</v>
      </c>
      <c r="D78" s="5"/>
      <c r="E78" s="4">
        <f t="shared" si="5"/>
        <v>0</v>
      </c>
      <c r="F78" s="5"/>
      <c r="G78" s="4">
        <f t="shared" si="6"/>
        <v>0</v>
      </c>
      <c r="H78" s="5"/>
      <c r="I78" s="4">
        <f t="shared" si="7"/>
        <v>0</v>
      </c>
      <c r="J78" s="5"/>
      <c r="K78" s="4">
        <f t="shared" si="9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8"/>
        <v>0</v>
      </c>
      <c r="D79" s="5"/>
      <c r="E79" s="4">
        <f t="shared" si="5"/>
        <v>0</v>
      </c>
      <c r="F79" s="5"/>
      <c r="G79" s="4">
        <f t="shared" si="6"/>
        <v>0</v>
      </c>
      <c r="H79" s="5"/>
      <c r="I79" s="4">
        <f t="shared" si="7"/>
        <v>0</v>
      </c>
      <c r="J79" s="5"/>
      <c r="K79" s="4">
        <f t="shared" si="9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8"/>
        <v>0</v>
      </c>
      <c r="D80" s="5"/>
      <c r="E80" s="4">
        <f t="shared" si="5"/>
        <v>0</v>
      </c>
      <c r="F80" s="5"/>
      <c r="G80" s="4">
        <f t="shared" si="6"/>
        <v>0</v>
      </c>
      <c r="H80" s="5"/>
      <c r="I80" s="4">
        <f t="shared" si="7"/>
        <v>0</v>
      </c>
      <c r="J80" s="5"/>
      <c r="K80" s="4">
        <f t="shared" si="9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8"/>
        <v>0</v>
      </c>
      <c r="D81" s="5"/>
      <c r="E81" s="4">
        <f t="shared" si="5"/>
        <v>0</v>
      </c>
      <c r="F81" s="5"/>
      <c r="G81" s="4">
        <f t="shared" si="6"/>
        <v>0</v>
      </c>
      <c r="H81" s="5"/>
      <c r="I81" s="4">
        <f t="shared" si="7"/>
        <v>0</v>
      </c>
      <c r="J81" s="5"/>
      <c r="K81" s="4">
        <f t="shared" si="9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8"/>
        <v>0</v>
      </c>
      <c r="D82" s="5"/>
      <c r="E82" s="4">
        <f t="shared" si="5"/>
        <v>0</v>
      </c>
      <c r="F82" s="5"/>
      <c r="G82" s="4">
        <f t="shared" si="6"/>
        <v>0</v>
      </c>
      <c r="H82" s="5"/>
      <c r="I82" s="4">
        <f t="shared" si="7"/>
        <v>0</v>
      </c>
      <c r="J82" s="5"/>
      <c r="K82" s="4">
        <f t="shared" si="9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8"/>
        <v>0</v>
      </c>
      <c r="D83" s="5"/>
      <c r="E83" s="4">
        <f t="shared" si="5"/>
        <v>0</v>
      </c>
      <c r="F83" s="5"/>
      <c r="G83" s="4">
        <f t="shared" si="6"/>
        <v>0</v>
      </c>
      <c r="H83" s="5"/>
      <c r="I83" s="4">
        <f t="shared" si="7"/>
        <v>0</v>
      </c>
      <c r="J83" s="5"/>
      <c r="K83" s="4">
        <f t="shared" si="9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8"/>
        <v>0</v>
      </c>
      <c r="D84" s="5"/>
      <c r="E84" s="4">
        <f t="shared" si="5"/>
        <v>0</v>
      </c>
      <c r="F84" s="5"/>
      <c r="G84" s="4">
        <f t="shared" si="6"/>
        <v>0</v>
      </c>
      <c r="H84" s="5"/>
      <c r="I84" s="4">
        <f t="shared" si="7"/>
        <v>0</v>
      </c>
      <c r="J84" s="5"/>
      <c r="K84" s="4">
        <f t="shared" si="9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8"/>
        <v>0</v>
      </c>
      <c r="D85" s="5"/>
      <c r="E85" s="4">
        <f t="shared" si="5"/>
        <v>0</v>
      </c>
      <c r="F85" s="5"/>
      <c r="G85" s="4">
        <f t="shared" si="6"/>
        <v>0</v>
      </c>
      <c r="H85" s="5"/>
      <c r="I85" s="4">
        <f t="shared" si="7"/>
        <v>0</v>
      </c>
      <c r="J85" s="5"/>
      <c r="K85" s="4">
        <f t="shared" si="9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8"/>
        <v>0</v>
      </c>
      <c r="D86" s="5"/>
      <c r="E86" s="4">
        <f t="shared" si="5"/>
        <v>0</v>
      </c>
      <c r="F86" s="5"/>
      <c r="G86" s="4">
        <f t="shared" si="6"/>
        <v>0</v>
      </c>
      <c r="H86" s="5"/>
      <c r="I86" s="4">
        <f>(J86-J85)</f>
        <v>0</v>
      </c>
      <c r="J86" s="5"/>
      <c r="K86" s="4">
        <f t="shared" si="9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8"/>
        <v>0</v>
      </c>
      <c r="D87" s="5"/>
      <c r="E87" s="4">
        <f t="shared" si="5"/>
        <v>0</v>
      </c>
      <c r="F87" s="5"/>
      <c r="G87" s="4">
        <f t="shared" si="6"/>
        <v>0</v>
      </c>
      <c r="H87" s="5"/>
      <c r="I87" s="4">
        <f t="shared" si="7"/>
        <v>0</v>
      </c>
      <c r="J87" s="5"/>
      <c r="K87" s="4">
        <f t="shared" si="9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8"/>
        <v>0</v>
      </c>
      <c r="D88" s="5"/>
      <c r="E88" s="4">
        <f t="shared" si="5"/>
        <v>0</v>
      </c>
      <c r="F88" s="5"/>
      <c r="G88" s="4">
        <f t="shared" si="6"/>
        <v>0</v>
      </c>
      <c r="H88" s="5"/>
      <c r="I88" s="4">
        <f t="shared" si="7"/>
        <v>0</v>
      </c>
      <c r="J88" s="5"/>
      <c r="K88" s="4">
        <f t="shared" si="9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8"/>
        <v>0</v>
      </c>
      <c r="D89" s="5"/>
      <c r="E89" s="4">
        <f t="shared" si="5"/>
        <v>0</v>
      </c>
      <c r="F89" s="5"/>
      <c r="G89" s="4">
        <f t="shared" si="6"/>
        <v>0</v>
      </c>
      <c r="H89" s="5"/>
      <c r="I89" s="4">
        <f t="shared" si="7"/>
        <v>0</v>
      </c>
      <c r="J89" s="5"/>
      <c r="K89" s="4">
        <f t="shared" si="9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8"/>
        <v>0</v>
      </c>
      <c r="D90" s="5"/>
      <c r="E90" s="4">
        <f t="shared" si="5"/>
        <v>0</v>
      </c>
      <c r="F90" s="5"/>
      <c r="G90" s="4">
        <f t="shared" si="6"/>
        <v>0</v>
      </c>
      <c r="H90" s="5"/>
      <c r="I90" s="4">
        <f t="shared" si="7"/>
        <v>0</v>
      </c>
      <c r="J90" s="5"/>
      <c r="K90" s="4">
        <f t="shared" si="9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8"/>
        <v>0</v>
      </c>
      <c r="D91" s="5"/>
      <c r="E91" s="4">
        <f t="shared" si="5"/>
        <v>0</v>
      </c>
      <c r="F91" s="5"/>
      <c r="G91" s="4">
        <f t="shared" si="6"/>
        <v>0</v>
      </c>
      <c r="H91" s="5"/>
      <c r="I91" s="4">
        <f t="shared" si="7"/>
        <v>0</v>
      </c>
      <c r="J91" s="5"/>
      <c r="K91" s="4">
        <f t="shared" si="9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8"/>
        <v>0</v>
      </c>
      <c r="D92" s="5"/>
      <c r="E92" s="4">
        <f t="shared" si="5"/>
        <v>0</v>
      </c>
      <c r="F92" s="5"/>
      <c r="G92" s="4">
        <f t="shared" si="6"/>
        <v>0</v>
      </c>
      <c r="H92" s="5"/>
      <c r="I92" s="4">
        <f t="shared" si="7"/>
        <v>0</v>
      </c>
      <c r="J92" s="5"/>
      <c r="K92" s="4">
        <f t="shared" si="9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8"/>
        <v>0</v>
      </c>
      <c r="D93" s="5"/>
      <c r="E93" s="4">
        <f t="shared" si="5"/>
        <v>0</v>
      </c>
      <c r="F93" s="5"/>
      <c r="G93" s="4">
        <f t="shared" si="6"/>
        <v>0</v>
      </c>
      <c r="H93" s="5"/>
      <c r="I93" s="4">
        <f t="shared" si="7"/>
        <v>0</v>
      </c>
      <c r="J93" s="5"/>
      <c r="K93" s="4">
        <f t="shared" si="9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8"/>
        <v>0</v>
      </c>
      <c r="D94" s="5"/>
      <c r="E94" s="4">
        <f t="shared" si="5"/>
        <v>0</v>
      </c>
      <c r="F94" s="5"/>
      <c r="G94" s="4">
        <f t="shared" si="6"/>
        <v>0</v>
      </c>
      <c r="H94" s="5"/>
      <c r="I94" s="4">
        <f t="shared" si="7"/>
        <v>0</v>
      </c>
      <c r="J94" s="5"/>
      <c r="K94" s="4">
        <f t="shared" si="9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8"/>
        <v>0</v>
      </c>
      <c r="D95" s="5"/>
      <c r="E95" s="4">
        <f t="shared" si="5"/>
        <v>0</v>
      </c>
      <c r="F95" s="5"/>
      <c r="G95" s="4">
        <f t="shared" si="6"/>
        <v>0</v>
      </c>
      <c r="H95" s="5"/>
      <c r="I95" s="4">
        <f t="shared" si="7"/>
        <v>0</v>
      </c>
      <c r="J95" s="5"/>
      <c r="K95" s="4">
        <f t="shared" si="9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8"/>
        <v>0</v>
      </c>
      <c r="D96" s="5"/>
      <c r="E96" s="4">
        <f t="shared" si="5"/>
        <v>0</v>
      </c>
      <c r="F96" s="5"/>
      <c r="G96" s="4">
        <f t="shared" si="6"/>
        <v>0</v>
      </c>
      <c r="H96" s="5"/>
      <c r="I96" s="4">
        <f t="shared" si="7"/>
        <v>0</v>
      </c>
      <c r="J96" s="5"/>
      <c r="K96" s="4">
        <f t="shared" si="9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8"/>
        <v>0</v>
      </c>
      <c r="D97" s="5"/>
      <c r="E97" s="4">
        <f t="shared" si="5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9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8"/>
        <v>0</v>
      </c>
      <c r="D98" s="5"/>
      <c r="E98" s="4">
        <f t="shared" si="5"/>
        <v>0</v>
      </c>
      <c r="F98" s="5"/>
      <c r="G98" s="4">
        <f t="shared" si="6"/>
        <v>0</v>
      </c>
      <c r="H98" s="5"/>
      <c r="I98" s="4">
        <f t="shared" si="7"/>
        <v>0</v>
      </c>
      <c r="J98" s="5"/>
      <c r="K98" s="4">
        <f t="shared" si="9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8"/>
        <v>0</v>
      </c>
      <c r="D99" s="5"/>
      <c r="E99" s="4">
        <f t="shared" si="5"/>
        <v>0</v>
      </c>
      <c r="F99" s="5"/>
      <c r="G99" s="4">
        <f t="shared" si="6"/>
        <v>0</v>
      </c>
      <c r="H99" s="5"/>
      <c r="I99" s="4">
        <f t="shared" si="7"/>
        <v>0</v>
      </c>
      <c r="J99" s="5"/>
      <c r="K99" s="4">
        <f t="shared" si="9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8"/>
        <v>0</v>
      </c>
      <c r="D100" s="5"/>
      <c r="E100" s="4">
        <f t="shared" si="5"/>
        <v>0</v>
      </c>
      <c r="F100" s="5"/>
      <c r="G100" s="4">
        <f t="shared" si="6"/>
        <v>0</v>
      </c>
      <c r="H100" s="5"/>
      <c r="I100" s="4">
        <f t="shared" si="7"/>
        <v>0</v>
      </c>
      <c r="J100" s="5"/>
      <c r="K100" s="4">
        <f t="shared" si="9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8"/>
        <v>0</v>
      </c>
      <c r="D101" s="5"/>
      <c r="E101" s="4">
        <f t="shared" si="5"/>
        <v>0</v>
      </c>
      <c r="F101" s="5"/>
      <c r="G101" s="4">
        <f t="shared" si="6"/>
        <v>0</v>
      </c>
      <c r="H101" s="5"/>
      <c r="I101" s="4">
        <f t="shared" si="7"/>
        <v>0</v>
      </c>
      <c r="J101" s="5"/>
      <c r="K101" s="4">
        <f t="shared" si="9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8"/>
        <v>0</v>
      </c>
      <c r="D102" s="5"/>
      <c r="E102" s="4">
        <f t="shared" si="5"/>
        <v>0</v>
      </c>
      <c r="F102" s="5"/>
      <c r="G102" s="4">
        <f t="shared" si="6"/>
        <v>0</v>
      </c>
      <c r="H102" s="5"/>
      <c r="I102" s="4">
        <f t="shared" si="7"/>
        <v>0</v>
      </c>
      <c r="J102" s="5"/>
      <c r="K102" s="4">
        <f t="shared" si="9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8"/>
        <v>0</v>
      </c>
      <c r="D103" s="7"/>
      <c r="E103" s="6">
        <f t="shared" si="5"/>
        <v>0</v>
      </c>
      <c r="F103" s="7"/>
      <c r="G103" s="6">
        <f t="shared" si="6"/>
        <v>0</v>
      </c>
      <c r="H103" s="7"/>
      <c r="I103" s="6">
        <f t="shared" si="7"/>
        <v>0</v>
      </c>
      <c r="J103" s="7"/>
      <c r="K103" s="6">
        <f t="shared" si="9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_xludf.day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16</xdr:col>
                    <xdr:colOff>279400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7"/>
  <sheetViews>
    <sheetView zoomScale="90" zoomScaleNormal="90" workbookViewId="0">
      <selection activeCell="T89" sqref="T89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5" spans="1:12" ht="18.5" customHeight="1" thickBot="1">
      <c r="A35" s="8">
        <v>6</v>
      </c>
      <c r="B35" s="1" t="s">
        <v>37</v>
      </c>
    </row>
    <row r="36" spans="1:12" ht="18.5" customHeight="1" thickBot="1">
      <c r="A36" s="9"/>
      <c r="B36" s="10"/>
      <c r="C36" s="17" t="s">
        <v>69</v>
      </c>
      <c r="D36" s="10"/>
      <c r="E36" s="11" t="s">
        <v>70</v>
      </c>
      <c r="F36" s="18"/>
      <c r="G36" s="17" t="s">
        <v>71</v>
      </c>
      <c r="H36" s="10"/>
      <c r="I36" s="17" t="s">
        <v>72</v>
      </c>
      <c r="J36" s="10"/>
      <c r="K36" s="11" t="s">
        <v>73</v>
      </c>
      <c r="L36" s="10"/>
    </row>
    <row r="37" spans="1:12" ht="18.5" customHeight="1">
      <c r="A37" s="15" t="s">
        <v>6</v>
      </c>
      <c r="B37" s="16">
        <v>43983</v>
      </c>
      <c r="C37" s="2">
        <f>ABS(D36-D37)</f>
        <v>0</v>
      </c>
      <c r="D37" s="3"/>
      <c r="E37" s="2">
        <f>ABS(F37-F36)</f>
        <v>0</v>
      </c>
      <c r="F37" s="3"/>
      <c r="G37" s="2">
        <f>ABS(H37-H36)</f>
        <v>0</v>
      </c>
      <c r="H37" s="3"/>
      <c r="I37" s="2">
        <f>ABS(J37-J36)</f>
        <v>0</v>
      </c>
      <c r="J37" s="3"/>
      <c r="K37" s="2">
        <f>ABS(L37-L36)</f>
        <v>0</v>
      </c>
      <c r="L37" s="3"/>
    </row>
    <row r="38" spans="1:12" ht="18.5" customHeight="1">
      <c r="A38" s="12" t="s">
        <v>7</v>
      </c>
      <c r="B38" s="13">
        <v>43984</v>
      </c>
      <c r="C38" s="4">
        <f>ABS(D38-D37)</f>
        <v>0</v>
      </c>
      <c r="D38" s="5"/>
      <c r="E38" s="4">
        <f>ABS(F38-F37)</f>
        <v>0</v>
      </c>
      <c r="F38" s="5"/>
      <c r="G38" s="4">
        <f>ABS(H38-H37)</f>
        <v>0</v>
      </c>
      <c r="H38" s="5"/>
      <c r="I38" s="4">
        <f>ABS(J38-J37)</f>
        <v>0</v>
      </c>
      <c r="J38" s="5"/>
      <c r="K38" s="4">
        <f>ABS(L38-L37)</f>
        <v>0</v>
      </c>
      <c r="L38" s="5"/>
    </row>
    <row r="39" spans="1:12" ht="18.5" customHeight="1">
      <c r="A39" s="12" t="s">
        <v>8</v>
      </c>
      <c r="B39" s="13">
        <v>43985</v>
      </c>
      <c r="C39" s="4">
        <f t="shared" ref="C39:E54" si="5">ABS(D39-D38)</f>
        <v>0</v>
      </c>
      <c r="D39" s="5"/>
      <c r="E39" s="4">
        <f t="shared" si="5"/>
        <v>0</v>
      </c>
      <c r="F39" s="5"/>
      <c r="G39" s="4">
        <f t="shared" ref="G39:I54" si="6">ABS(H39-H38)</f>
        <v>0</v>
      </c>
      <c r="H39" s="5"/>
      <c r="I39" s="4">
        <f t="shared" si="6"/>
        <v>0</v>
      </c>
      <c r="J39" s="5"/>
      <c r="K39" s="4">
        <f t="shared" ref="K39:K67" si="7">ABS(L39-L38)</f>
        <v>0</v>
      </c>
      <c r="L39" s="5"/>
    </row>
    <row r="40" spans="1:12" ht="18.5" customHeight="1">
      <c r="A40" s="12" t="s">
        <v>9</v>
      </c>
      <c r="B40" s="13">
        <v>43986</v>
      </c>
      <c r="C40" s="4">
        <f t="shared" si="5"/>
        <v>0</v>
      </c>
      <c r="D40" s="5"/>
      <c r="E40" s="4">
        <f t="shared" si="5"/>
        <v>0</v>
      </c>
      <c r="F40" s="5"/>
      <c r="G40" s="4">
        <f t="shared" si="6"/>
        <v>0</v>
      </c>
      <c r="H40" s="5"/>
      <c r="I40" s="4">
        <f t="shared" si="6"/>
        <v>0</v>
      </c>
      <c r="J40" s="5"/>
      <c r="K40" s="4">
        <f t="shared" si="7"/>
        <v>0</v>
      </c>
      <c r="L40" s="5"/>
    </row>
    <row r="41" spans="1:12" ht="18.5" customHeight="1">
      <c r="A41" s="12" t="s">
        <v>10</v>
      </c>
      <c r="B41" s="13">
        <v>43987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11</v>
      </c>
      <c r="B42" s="13">
        <v>43988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12</v>
      </c>
      <c r="B43" s="13">
        <v>43989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13</v>
      </c>
      <c r="B44" s="13">
        <v>43990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14</v>
      </c>
      <c r="B45" s="13">
        <v>43991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15</v>
      </c>
      <c r="B46" s="13">
        <v>43992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16</v>
      </c>
      <c r="B47" s="13">
        <v>43993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17</v>
      </c>
      <c r="B48" s="13">
        <v>43994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18</v>
      </c>
      <c r="B49" s="13">
        <v>43995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19</v>
      </c>
      <c r="B50" s="13">
        <v>43996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20</v>
      </c>
      <c r="B51" s="13">
        <v>43997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21</v>
      </c>
      <c r="B52" s="13">
        <v>43998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22</v>
      </c>
      <c r="B53" s="13">
        <v>43999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23</v>
      </c>
      <c r="B54" s="13">
        <v>44000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24</v>
      </c>
      <c r="B55" s="13">
        <v>44001</v>
      </c>
      <c r="C55" s="4">
        <f t="shared" ref="C55:E67" si="8">ABS(D55-D54)</f>
        <v>0</v>
      </c>
      <c r="D55" s="5"/>
      <c r="E55" s="4">
        <f t="shared" si="8"/>
        <v>0</v>
      </c>
      <c r="F55" s="5"/>
      <c r="G55" s="4">
        <f t="shared" ref="G55:I67" si="9">ABS(H55-H54)</f>
        <v>0</v>
      </c>
      <c r="H55" s="5"/>
      <c r="I55" s="4">
        <f t="shared" si="9"/>
        <v>0</v>
      </c>
      <c r="J55" s="5"/>
      <c r="K55" s="4">
        <f t="shared" si="7"/>
        <v>0</v>
      </c>
      <c r="L55" s="5"/>
    </row>
    <row r="56" spans="1:12" ht="18.5" customHeight="1">
      <c r="A56" s="12" t="s">
        <v>25</v>
      </c>
      <c r="B56" s="13">
        <v>44002</v>
      </c>
      <c r="C56" s="4">
        <f t="shared" si="8"/>
        <v>0</v>
      </c>
      <c r="D56" s="5"/>
      <c r="E56" s="4">
        <f t="shared" si="8"/>
        <v>0</v>
      </c>
      <c r="F56" s="5"/>
      <c r="G56" s="4">
        <f t="shared" si="9"/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26</v>
      </c>
      <c r="B57" s="13">
        <v>44003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27</v>
      </c>
      <c r="B58" s="13">
        <v>44004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28</v>
      </c>
      <c r="B59" s="13">
        <v>44005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29</v>
      </c>
      <c r="B60" s="13">
        <v>44006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30</v>
      </c>
      <c r="B61" s="13">
        <v>44007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31</v>
      </c>
      <c r="B62" s="13">
        <v>44008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32</v>
      </c>
      <c r="B63" s="13">
        <v>44009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33</v>
      </c>
      <c r="B64" s="13">
        <v>44010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34</v>
      </c>
      <c r="B65" s="13">
        <v>44011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35</v>
      </c>
      <c r="B66" s="13">
        <v>44012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 thickBot="1">
      <c r="A67" s="14" t="s">
        <v>36</v>
      </c>
      <c r="B67" s="7"/>
      <c r="C67" s="6">
        <f t="shared" si="8"/>
        <v>0</v>
      </c>
      <c r="D67" s="7"/>
      <c r="E67" s="6">
        <f t="shared" si="8"/>
        <v>0</v>
      </c>
      <c r="F67" s="7"/>
      <c r="G67" s="6">
        <f t="shared" si="9"/>
        <v>0</v>
      </c>
      <c r="H67" s="7"/>
      <c r="I67" s="6">
        <f t="shared" si="9"/>
        <v>0</v>
      </c>
      <c r="J67" s="7"/>
      <c r="K67" s="6">
        <f t="shared" si="7"/>
        <v>0</v>
      </c>
      <c r="L67" s="7"/>
    </row>
    <row r="70" spans="1:12" ht="18.5" customHeight="1" thickBot="1">
      <c r="A70" s="8">
        <v>7</v>
      </c>
      <c r="B70" s="1" t="s">
        <v>37</v>
      </c>
    </row>
    <row r="71" spans="1:12" ht="18.5" customHeight="1" thickBot="1">
      <c r="A71" s="9"/>
      <c r="B71" s="10"/>
      <c r="C71" s="17" t="s">
        <v>69</v>
      </c>
      <c r="D71" s="10"/>
      <c r="E71" s="11" t="s">
        <v>70</v>
      </c>
      <c r="F71" s="18"/>
      <c r="G71" s="17" t="s">
        <v>71</v>
      </c>
      <c r="H71" s="10"/>
      <c r="I71" s="17" t="s">
        <v>72</v>
      </c>
      <c r="J71" s="10"/>
      <c r="K71" s="11" t="s">
        <v>73</v>
      </c>
      <c r="L71" s="10"/>
    </row>
    <row r="72" spans="1:12" ht="18.5" customHeight="1" thickBot="1">
      <c r="A72" s="15" t="s">
        <v>6</v>
      </c>
      <c r="B72" s="16">
        <v>44013</v>
      </c>
      <c r="C72" s="6">
        <f t="shared" ref="C72:K72" si="10">ABS(D72-D71)</f>
        <v>0</v>
      </c>
      <c r="D72" s="3"/>
      <c r="E72" s="6">
        <f t="shared" si="10"/>
        <v>0</v>
      </c>
      <c r="F72" s="3"/>
      <c r="G72" s="6">
        <f t="shared" si="10"/>
        <v>0</v>
      </c>
      <c r="H72" s="3"/>
      <c r="I72" s="6">
        <f t="shared" si="10"/>
        <v>0</v>
      </c>
      <c r="J72" s="3"/>
      <c r="K72" s="6">
        <f t="shared" si="10"/>
        <v>0</v>
      </c>
      <c r="L72" s="3"/>
    </row>
    <row r="73" spans="1:12" ht="18.5" customHeight="1">
      <c r="A73" s="12" t="s">
        <v>7</v>
      </c>
      <c r="B73" s="16">
        <v>44014</v>
      </c>
      <c r="C73" s="4">
        <f>ABS(D73-D72)</f>
        <v>0</v>
      </c>
      <c r="D73" s="5"/>
      <c r="E73" s="4">
        <f>ABS(F73-F72)</f>
        <v>0</v>
      </c>
      <c r="F73" s="5"/>
      <c r="G73" s="4">
        <f>ABS(H73-H72)</f>
        <v>0</v>
      </c>
      <c r="H73" s="5"/>
      <c r="I73" s="4">
        <f>ABS(J73-J72)</f>
        <v>0</v>
      </c>
      <c r="J73" s="5"/>
      <c r="K73" s="4">
        <f>ABS(L73-L72)</f>
        <v>0</v>
      </c>
      <c r="L73" s="5"/>
    </row>
    <row r="74" spans="1:12" ht="18.5" customHeight="1">
      <c r="A74" s="12" t="s">
        <v>8</v>
      </c>
      <c r="B74" s="16">
        <v>44015</v>
      </c>
      <c r="C74" s="4">
        <f t="shared" ref="C74:C102" si="11">ABS(D74-D73)</f>
        <v>0</v>
      </c>
      <c r="D74" s="5"/>
      <c r="E74" s="4">
        <f t="shared" ref="E74:E102" si="12">ABS(F74-F73)</f>
        <v>0</v>
      </c>
      <c r="F74" s="5"/>
      <c r="G74" s="4">
        <f t="shared" ref="G74:G102" si="13">ABS(H74-H73)</f>
        <v>0</v>
      </c>
      <c r="H74" s="5"/>
      <c r="I74" s="4">
        <f t="shared" ref="I74:I102" si="14">ABS(J74-J73)</f>
        <v>0</v>
      </c>
      <c r="J74" s="5"/>
      <c r="K74" s="4">
        <f t="shared" ref="K74:K102" si="15">ABS(L74-L73)</f>
        <v>0</v>
      </c>
      <c r="L74" s="5"/>
    </row>
    <row r="75" spans="1:12" ht="18.5" customHeight="1">
      <c r="A75" s="12" t="s">
        <v>9</v>
      </c>
      <c r="B75" s="16">
        <v>44016</v>
      </c>
      <c r="C75" s="4">
        <f t="shared" si="11"/>
        <v>0</v>
      </c>
      <c r="D75" s="5"/>
      <c r="E75" s="4">
        <f t="shared" si="12"/>
        <v>0</v>
      </c>
      <c r="F75" s="5"/>
      <c r="G75" s="4">
        <f t="shared" si="13"/>
        <v>0</v>
      </c>
      <c r="H75" s="5"/>
      <c r="I75" s="4">
        <f>ABS(J75-J74)</f>
        <v>0</v>
      </c>
      <c r="J75" s="5"/>
      <c r="K75" s="4">
        <f t="shared" si="15"/>
        <v>0</v>
      </c>
      <c r="L75" s="5"/>
    </row>
    <row r="76" spans="1:12" ht="18.5" customHeight="1">
      <c r="A76" s="12" t="s">
        <v>10</v>
      </c>
      <c r="B76" s="16">
        <v>44017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11</v>
      </c>
      <c r="B77" s="16">
        <v>44018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12</v>
      </c>
      <c r="B78" s="16">
        <v>44019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13</v>
      </c>
      <c r="B79" s="16">
        <v>44020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14</v>
      </c>
      <c r="B80" s="16">
        <v>44021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15</v>
      </c>
      <c r="B81" s="16">
        <v>44022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16</v>
      </c>
      <c r="B82" s="16">
        <v>44023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17</v>
      </c>
      <c r="B83" s="16">
        <v>44024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18</v>
      </c>
      <c r="B84" s="16">
        <v>44025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19</v>
      </c>
      <c r="B85" s="16">
        <v>44026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20</v>
      </c>
      <c r="B86" s="16">
        <v>44027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21</v>
      </c>
      <c r="B87" s="16">
        <v>44028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22</v>
      </c>
      <c r="B88" s="16">
        <v>44029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23</v>
      </c>
      <c r="B89" s="16">
        <v>44030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24</v>
      </c>
      <c r="B90" s="16">
        <v>44031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25</v>
      </c>
      <c r="B91" s="16">
        <v>44032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26</v>
      </c>
      <c r="B92" s="16">
        <v>44033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27</v>
      </c>
      <c r="B93" s="16">
        <v>44034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28</v>
      </c>
      <c r="B94" s="16">
        <v>44035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29</v>
      </c>
      <c r="B95" s="16">
        <v>44036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30</v>
      </c>
      <c r="B96" s="16">
        <v>44037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31</v>
      </c>
      <c r="B97" s="16">
        <v>44038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32</v>
      </c>
      <c r="B98" s="16">
        <v>44039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33</v>
      </c>
      <c r="B99" s="16">
        <v>44040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34</v>
      </c>
      <c r="B100" s="16">
        <v>44041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35</v>
      </c>
      <c r="B101" s="16">
        <v>44042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 thickBot="1">
      <c r="A102" s="14" t="s">
        <v>36</v>
      </c>
      <c r="B102" s="16">
        <v>44043</v>
      </c>
      <c r="C102" s="6">
        <f t="shared" si="11"/>
        <v>0</v>
      </c>
      <c r="D102" s="7"/>
      <c r="E102" s="6">
        <f t="shared" si="12"/>
        <v>0</v>
      </c>
      <c r="F102" s="7"/>
      <c r="G102" s="6">
        <f t="shared" si="13"/>
        <v>0</v>
      </c>
      <c r="H102" s="7"/>
      <c r="I102" s="6">
        <f t="shared" si="14"/>
        <v>0</v>
      </c>
      <c r="J102" s="7"/>
      <c r="K102" s="6">
        <f t="shared" si="15"/>
        <v>0</v>
      </c>
      <c r="L102" s="7"/>
    </row>
    <row r="105" spans="1:12" ht="18.5" customHeight="1" thickBot="1">
      <c r="A105" s="8">
        <v>8</v>
      </c>
      <c r="B105" s="1" t="s">
        <v>37</v>
      </c>
    </row>
    <row r="106" spans="1:12" ht="18.5" customHeight="1" thickBot="1">
      <c r="A106" s="9"/>
      <c r="B106" s="10"/>
      <c r="C106" s="17" t="s">
        <v>69</v>
      </c>
      <c r="D106" s="10"/>
      <c r="E106" s="11" t="s">
        <v>70</v>
      </c>
      <c r="F106" s="18"/>
      <c r="G106" s="17" t="s">
        <v>71</v>
      </c>
      <c r="H106" s="10"/>
      <c r="I106" s="17" t="s">
        <v>72</v>
      </c>
      <c r="J106" s="10"/>
      <c r="K106" s="11" t="s">
        <v>73</v>
      </c>
      <c r="L106" s="10"/>
    </row>
    <row r="107" spans="1:12" ht="18.5" customHeight="1">
      <c r="A107" s="15" t="s">
        <v>6</v>
      </c>
      <c r="B107" s="16">
        <v>44044</v>
      </c>
      <c r="C107" s="2">
        <f>ABS(D107-D106)</f>
        <v>0</v>
      </c>
      <c r="D107" s="3"/>
      <c r="E107" s="2">
        <f>ABS(F107-F106)</f>
        <v>0</v>
      </c>
      <c r="F107" s="3"/>
      <c r="G107" s="2">
        <f>ABS(H107-H106)</f>
        <v>0</v>
      </c>
      <c r="H107" s="3"/>
      <c r="I107" s="2">
        <f>ABS(J107-J106)</f>
        <v>0</v>
      </c>
      <c r="J107" s="3"/>
      <c r="K107" s="2">
        <f>ABS(L107-L106)</f>
        <v>0</v>
      </c>
      <c r="L107" s="3"/>
    </row>
    <row r="108" spans="1:12" ht="18.5" customHeight="1">
      <c r="A108" s="12" t="s">
        <v>7</v>
      </c>
      <c r="B108" s="16">
        <v>44045</v>
      </c>
      <c r="C108" s="4">
        <f>ABS(D108-D107)</f>
        <v>0</v>
      </c>
      <c r="D108" s="5"/>
      <c r="E108" s="4">
        <f>ABS(F108-F107)</f>
        <v>0</v>
      </c>
      <c r="F108" s="5"/>
      <c r="G108" s="4">
        <f>ABS(H108-H107)</f>
        <v>0</v>
      </c>
      <c r="H108" s="5"/>
      <c r="I108" s="4">
        <f>ABS(J108-J107)</f>
        <v>0</v>
      </c>
      <c r="J108" s="5"/>
      <c r="K108" s="4">
        <f>ABS(L108-L107)</f>
        <v>0</v>
      </c>
      <c r="L108" s="5"/>
    </row>
    <row r="109" spans="1:12" ht="18.5" customHeight="1">
      <c r="A109" s="12" t="s">
        <v>8</v>
      </c>
      <c r="B109" s="16">
        <v>44046</v>
      </c>
      <c r="C109" s="4">
        <f t="shared" ref="C109:C124" si="16">ABS(D109-D108)</f>
        <v>0</v>
      </c>
      <c r="D109" s="5"/>
      <c r="E109" s="4">
        <f t="shared" ref="E109:E124" si="17">ABS(F109-F108)</f>
        <v>0</v>
      </c>
      <c r="F109" s="5"/>
      <c r="G109" s="4">
        <f t="shared" ref="G109:G124" si="18">ABS(H109-H108)</f>
        <v>0</v>
      </c>
      <c r="H109" s="5"/>
      <c r="I109" s="4">
        <f t="shared" ref="I109:I124" si="19">ABS(J109-J108)</f>
        <v>0</v>
      </c>
      <c r="J109" s="5"/>
      <c r="K109" s="4">
        <f t="shared" ref="K109:K137" si="20">ABS(L109-L108)</f>
        <v>0</v>
      </c>
      <c r="L109" s="5"/>
    </row>
    <row r="110" spans="1:12" ht="18.5" customHeight="1">
      <c r="A110" s="12" t="s">
        <v>9</v>
      </c>
      <c r="B110" s="16">
        <v>44047</v>
      </c>
      <c r="C110" s="4">
        <f t="shared" si="16"/>
        <v>0</v>
      </c>
      <c r="D110" s="5"/>
      <c r="E110" s="4">
        <f t="shared" si="17"/>
        <v>0</v>
      </c>
      <c r="F110" s="5"/>
      <c r="G110" s="4">
        <f t="shared" si="18"/>
        <v>0</v>
      </c>
      <c r="H110" s="5"/>
      <c r="I110" s="4">
        <f t="shared" si="19"/>
        <v>0</v>
      </c>
      <c r="J110" s="5"/>
      <c r="K110" s="4">
        <f t="shared" si="20"/>
        <v>0</v>
      </c>
      <c r="L110" s="5"/>
    </row>
    <row r="111" spans="1:12" ht="18.5" customHeight="1">
      <c r="A111" s="12" t="s">
        <v>10</v>
      </c>
      <c r="B111" s="16">
        <v>44048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11</v>
      </c>
      <c r="B112" s="16">
        <v>44049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12</v>
      </c>
      <c r="B113" s="16">
        <v>44050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13</v>
      </c>
      <c r="B114" s="16">
        <v>44051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14</v>
      </c>
      <c r="B115" s="16">
        <v>44052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15</v>
      </c>
      <c r="B116" s="16">
        <v>44053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16</v>
      </c>
      <c r="B117" s="16">
        <v>44054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17</v>
      </c>
      <c r="B118" s="16">
        <v>44055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18</v>
      </c>
      <c r="B119" s="16">
        <v>44056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19</v>
      </c>
      <c r="B120" s="16">
        <v>44057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20</v>
      </c>
      <c r="B121" s="16">
        <v>44058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21</v>
      </c>
      <c r="B122" s="16">
        <v>44059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22</v>
      </c>
      <c r="B123" s="16">
        <v>44060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23</v>
      </c>
      <c r="B124" s="16">
        <v>44061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24</v>
      </c>
      <c r="B125" s="16">
        <v>44062</v>
      </c>
      <c r="C125" s="4">
        <f t="shared" ref="C125:C137" si="21">ABS(D125-D124)</f>
        <v>0</v>
      </c>
      <c r="D125" s="5"/>
      <c r="E125" s="4">
        <f t="shared" ref="E125:E137" si="22">ABS(F125-F124)</f>
        <v>0</v>
      </c>
      <c r="F125" s="5"/>
      <c r="G125" s="4">
        <f t="shared" ref="G125:G137" si="23">ABS(H125-H124)</f>
        <v>0</v>
      </c>
      <c r="H125" s="5"/>
      <c r="I125" s="4">
        <f t="shared" ref="I125:I137" si="24">ABS(J125-J124)</f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25</v>
      </c>
      <c r="B126" s="16">
        <v>44063</v>
      </c>
      <c r="C126" s="4">
        <f t="shared" si="21"/>
        <v>0</v>
      </c>
      <c r="D126" s="5"/>
      <c r="E126" s="4">
        <f t="shared" si="22"/>
        <v>0</v>
      </c>
      <c r="F126" s="5"/>
      <c r="G126" s="4">
        <f t="shared" si="23"/>
        <v>0</v>
      </c>
      <c r="H126" s="5"/>
      <c r="I126" s="4">
        <f t="shared" si="24"/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26</v>
      </c>
      <c r="B127" s="16">
        <v>44064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27</v>
      </c>
      <c r="B128" s="16">
        <v>44065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28</v>
      </c>
      <c r="B129" s="16">
        <v>44066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29</v>
      </c>
      <c r="B130" s="16">
        <v>44067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30</v>
      </c>
      <c r="B131" s="16">
        <v>44068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31</v>
      </c>
      <c r="B132" s="16">
        <v>44069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32</v>
      </c>
      <c r="B133" s="16">
        <v>44070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33</v>
      </c>
      <c r="B134" s="16">
        <v>44071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34</v>
      </c>
      <c r="B135" s="16">
        <v>44072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35</v>
      </c>
      <c r="B136" s="16">
        <v>44073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 thickBot="1">
      <c r="A137" s="14" t="s">
        <v>36</v>
      </c>
      <c r="B137" s="16">
        <v>44074</v>
      </c>
      <c r="C137" s="6">
        <f t="shared" si="21"/>
        <v>0</v>
      </c>
      <c r="D137" s="7"/>
      <c r="E137" s="6">
        <f t="shared" si="22"/>
        <v>0</v>
      </c>
      <c r="F137" s="7"/>
      <c r="G137" s="6">
        <f t="shared" si="23"/>
        <v>0</v>
      </c>
      <c r="H137" s="7"/>
      <c r="I137" s="6">
        <f t="shared" si="24"/>
        <v>0</v>
      </c>
      <c r="J137" s="7"/>
      <c r="K137" s="6">
        <f t="shared" si="20"/>
        <v>0</v>
      </c>
      <c r="L137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19" sqref="C19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100</v>
      </c>
      <c r="D4" s="27">
        <f>心斎橋!F3</f>
        <v>90</v>
      </c>
      <c r="E4" s="27">
        <f>心斎橋!H3</f>
        <v>80</v>
      </c>
      <c r="F4" s="27">
        <f>心斎橋!J3</f>
        <v>40</v>
      </c>
      <c r="G4" s="28">
        <f>心斎橋!L3</f>
        <v>40</v>
      </c>
    </row>
    <row r="5" spans="2:7" ht="27.5" customHeight="1" thickBot="1">
      <c r="B5" s="29"/>
      <c r="C5" s="30">
        <f>ABS(C4)</f>
        <v>100</v>
      </c>
      <c r="D5" s="30">
        <f>ABS(D4)</f>
        <v>90</v>
      </c>
      <c r="E5" s="30">
        <f>ABS(E4)</f>
        <v>80</v>
      </c>
      <c r="F5" s="30">
        <f>ABS(F4)</f>
        <v>40</v>
      </c>
      <c r="G5" s="31">
        <f>ABS(G4)</f>
        <v>40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100</v>
      </c>
      <c r="D12" s="33">
        <f t="shared" si="0"/>
        <v>90</v>
      </c>
      <c r="E12" s="33">
        <f t="shared" si="0"/>
        <v>80</v>
      </c>
      <c r="F12" s="33">
        <f>SUM(F4,F6,F8,F10,)</f>
        <v>40</v>
      </c>
      <c r="G12" s="34">
        <f>SUM(G4,G6,G8,G10)</f>
        <v>40</v>
      </c>
    </row>
    <row r="13" spans="2:7" ht="27.5" customHeight="1" thickBot="1">
      <c r="B13" s="35" t="s">
        <v>5</v>
      </c>
      <c r="C13" s="36">
        <f t="shared" si="0"/>
        <v>100</v>
      </c>
      <c r="D13" s="36">
        <f t="shared" si="0"/>
        <v>90</v>
      </c>
      <c r="E13" s="36">
        <f t="shared" si="0"/>
        <v>80</v>
      </c>
      <c r="F13" s="36">
        <f>SUM(F5,F7,F9,F11)</f>
        <v>40</v>
      </c>
      <c r="G13" s="37">
        <f>SUM(G5,G7,G9,G11)</f>
        <v>40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23</v>
      </c>
      <c r="D17" s="33">
        <f>心斎橋!E4</f>
        <v>100</v>
      </c>
      <c r="E17" s="33">
        <f>心斎橋!G4</f>
        <v>8</v>
      </c>
      <c r="F17" s="33">
        <f>心斎橋!I4</f>
        <v>22</v>
      </c>
      <c r="G17" s="34">
        <f>心斎橋!K4</f>
        <v>49</v>
      </c>
    </row>
    <row r="18" spans="2:7" ht="27.5" customHeight="1" thickBot="1">
      <c r="B18" s="35"/>
      <c r="C18" s="36">
        <f t="shared" ref="C18:G18" si="1">SUM(C5,C17)</f>
        <v>123</v>
      </c>
      <c r="D18" s="36">
        <f t="shared" si="1"/>
        <v>190</v>
      </c>
      <c r="E18" s="36">
        <f t="shared" si="1"/>
        <v>88</v>
      </c>
      <c r="F18" s="36">
        <f t="shared" si="1"/>
        <v>62</v>
      </c>
      <c r="G18" s="37">
        <f t="shared" si="1"/>
        <v>89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23</v>
      </c>
      <c r="D25" s="33">
        <f>SUM(D17,D19,D21,D23)</f>
        <v>100</v>
      </c>
      <c r="E25" s="33">
        <f>SUM(E17,E19,E21,E23)</f>
        <v>8</v>
      </c>
      <c r="F25" s="33">
        <f>SUM(F17,F19,F21,F23)</f>
        <v>22</v>
      </c>
      <c r="G25" s="34">
        <f>SUM(G17,G19,G21,G23)</f>
        <v>49</v>
      </c>
    </row>
    <row r="26" spans="2:7" ht="27.5" customHeight="1" thickBot="1">
      <c r="B26" s="35" t="s">
        <v>5</v>
      </c>
      <c r="C26" s="36">
        <f t="shared" ref="C26:G26" si="5">SUM(C13,C25)</f>
        <v>123</v>
      </c>
      <c r="D26" s="36">
        <f t="shared" si="5"/>
        <v>190</v>
      </c>
      <c r="E26" s="36">
        <f t="shared" si="5"/>
        <v>88</v>
      </c>
      <c r="F26" s="36">
        <f t="shared" si="5"/>
        <v>62</v>
      </c>
      <c r="G26" s="37">
        <f t="shared" si="5"/>
        <v>89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123</v>
      </c>
      <c r="D30" s="33">
        <f>心斎橋!E5</f>
        <v>190</v>
      </c>
      <c r="E30" s="33">
        <f>心斎橋!G5</f>
        <v>88</v>
      </c>
      <c r="F30" s="33">
        <f>心斎橋!I5</f>
        <v>62</v>
      </c>
      <c r="G30" s="34">
        <f>心斎橋!K5</f>
        <v>89</v>
      </c>
    </row>
    <row r="31" spans="2:7" ht="27.5" customHeight="1" thickBot="1">
      <c r="B31" s="35"/>
      <c r="C31" s="36">
        <f t="shared" ref="C31:G31" si="6">SUM(C18,C30)</f>
        <v>246</v>
      </c>
      <c r="D31" s="36">
        <f t="shared" si="6"/>
        <v>380</v>
      </c>
      <c r="E31" s="36">
        <f t="shared" si="6"/>
        <v>176</v>
      </c>
      <c r="F31" s="36">
        <f t="shared" si="6"/>
        <v>124</v>
      </c>
      <c r="G31" s="37">
        <f t="shared" si="6"/>
        <v>178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123</v>
      </c>
      <c r="D38" s="33">
        <f>SUM(D30,D32,D34,D36)</f>
        <v>190</v>
      </c>
      <c r="E38" s="33">
        <f>SUM(E30,E32,E34,E36)</f>
        <v>88</v>
      </c>
      <c r="F38" s="33">
        <f>SUM(F30,F32,F34,F36)</f>
        <v>62</v>
      </c>
      <c r="G38" s="34">
        <f>SUM(G30,G32,G34,G36)</f>
        <v>89</v>
      </c>
    </row>
    <row r="39" spans="2:7" ht="27.5" customHeight="1" thickBot="1">
      <c r="B39" s="35" t="s">
        <v>5</v>
      </c>
      <c r="C39" s="36">
        <f t="shared" ref="C39:G39" si="10">SUM(C26,C38)</f>
        <v>246</v>
      </c>
      <c r="D39" s="36">
        <f t="shared" si="10"/>
        <v>380</v>
      </c>
      <c r="E39" s="36">
        <f t="shared" si="10"/>
        <v>176</v>
      </c>
      <c r="F39" s="36">
        <f t="shared" si="10"/>
        <v>124</v>
      </c>
      <c r="G39" s="37">
        <f t="shared" si="10"/>
        <v>178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246</v>
      </c>
      <c r="D44" s="36">
        <f t="shared" si="11"/>
        <v>380</v>
      </c>
      <c r="E44" s="36">
        <f t="shared" si="11"/>
        <v>176</v>
      </c>
      <c r="F44" s="36">
        <f t="shared" si="11"/>
        <v>124</v>
      </c>
      <c r="G44" s="37">
        <f t="shared" si="11"/>
        <v>178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246</v>
      </c>
      <c r="D52" s="36">
        <f t="shared" si="16"/>
        <v>380</v>
      </c>
      <c r="E52" s="36">
        <f t="shared" si="16"/>
        <v>176</v>
      </c>
      <c r="F52" s="36">
        <f t="shared" si="16"/>
        <v>124</v>
      </c>
      <c r="G52" s="37">
        <f t="shared" si="16"/>
        <v>178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246</v>
      </c>
      <c r="D57" s="36">
        <f t="shared" si="17"/>
        <v>380</v>
      </c>
      <c r="E57" s="36">
        <f t="shared" si="17"/>
        <v>176</v>
      </c>
      <c r="F57" s="36">
        <f t="shared" si="17"/>
        <v>124</v>
      </c>
      <c r="G57" s="37">
        <f t="shared" si="17"/>
        <v>178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246</v>
      </c>
      <c r="D65" s="36">
        <f t="shared" si="21"/>
        <v>380</v>
      </c>
      <c r="E65" s="36">
        <f t="shared" si="21"/>
        <v>176</v>
      </c>
      <c r="F65" s="36">
        <f t="shared" si="21"/>
        <v>124</v>
      </c>
      <c r="G65" s="37">
        <f t="shared" si="21"/>
        <v>178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246</v>
      </c>
      <c r="D70" s="36">
        <f t="shared" si="22"/>
        <v>380</v>
      </c>
      <c r="E70" s="36">
        <f t="shared" si="22"/>
        <v>176</v>
      </c>
      <c r="F70" s="36">
        <f t="shared" si="22"/>
        <v>124</v>
      </c>
      <c r="G70" s="37">
        <f t="shared" si="22"/>
        <v>178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246</v>
      </c>
      <c r="D78" s="36">
        <f t="shared" si="26"/>
        <v>380</v>
      </c>
      <c r="E78" s="36">
        <f t="shared" si="26"/>
        <v>176</v>
      </c>
      <c r="F78" s="36">
        <f t="shared" si="26"/>
        <v>124</v>
      </c>
      <c r="G78" s="37">
        <f t="shared" si="26"/>
        <v>178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246</v>
      </c>
      <c r="D83" s="36">
        <f t="shared" si="27"/>
        <v>380</v>
      </c>
      <c r="E83" s="36">
        <f t="shared" si="27"/>
        <v>176</v>
      </c>
      <c r="F83" s="36">
        <f t="shared" si="27"/>
        <v>124</v>
      </c>
      <c r="G83" s="37">
        <f t="shared" si="27"/>
        <v>178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246</v>
      </c>
      <c r="D91" s="36">
        <f t="shared" si="31"/>
        <v>380</v>
      </c>
      <c r="E91" s="36">
        <f t="shared" si="31"/>
        <v>176</v>
      </c>
      <c r="F91" s="36">
        <f t="shared" si="31"/>
        <v>124</v>
      </c>
      <c r="G91" s="37">
        <f t="shared" si="31"/>
        <v>178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246</v>
      </c>
      <c r="D96" s="36">
        <f t="shared" ref="D96:G96" si="32">SUM(D83,D95)</f>
        <v>380</v>
      </c>
      <c r="E96" s="36">
        <f t="shared" si="32"/>
        <v>176</v>
      </c>
      <c r="F96" s="36">
        <f t="shared" si="32"/>
        <v>124</v>
      </c>
      <c r="G96" s="37">
        <f t="shared" si="32"/>
        <v>178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246</v>
      </c>
      <c r="D104" s="36">
        <f t="shared" ref="D104:G104" si="36">SUM(D91,D103)</f>
        <v>380</v>
      </c>
      <c r="E104" s="36">
        <f t="shared" si="36"/>
        <v>176</v>
      </c>
      <c r="F104" s="36">
        <f t="shared" si="36"/>
        <v>124</v>
      </c>
      <c r="G104" s="37">
        <f t="shared" si="36"/>
        <v>178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246</v>
      </c>
      <c r="D109" s="36">
        <f t="shared" si="37"/>
        <v>380</v>
      </c>
      <c r="E109" s="36">
        <f t="shared" si="37"/>
        <v>176</v>
      </c>
      <c r="F109" s="36">
        <f t="shared" si="37"/>
        <v>124</v>
      </c>
      <c r="G109" s="37">
        <f t="shared" si="37"/>
        <v>178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246</v>
      </c>
      <c r="D117" s="36">
        <f t="shared" ref="D117:G117" si="41">SUM(D104,D116)</f>
        <v>380</v>
      </c>
      <c r="E117" s="36">
        <f t="shared" si="41"/>
        <v>176</v>
      </c>
      <c r="F117" s="36">
        <f t="shared" si="41"/>
        <v>124</v>
      </c>
      <c r="G117" s="37">
        <f t="shared" si="41"/>
        <v>178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246</v>
      </c>
      <c r="D122" s="36">
        <f t="shared" si="42"/>
        <v>380</v>
      </c>
      <c r="E122" s="36">
        <f t="shared" si="42"/>
        <v>176</v>
      </c>
      <c r="F122" s="36">
        <f t="shared" si="42"/>
        <v>124</v>
      </c>
      <c r="G122" s="37">
        <f t="shared" si="42"/>
        <v>178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246</v>
      </c>
      <c r="D130" s="36">
        <f t="shared" si="47"/>
        <v>380</v>
      </c>
      <c r="E130" s="36">
        <f t="shared" si="47"/>
        <v>176</v>
      </c>
      <c r="F130" s="36">
        <f t="shared" si="47"/>
        <v>124</v>
      </c>
      <c r="G130" s="36">
        <f t="shared" si="47"/>
        <v>178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246</v>
      </c>
      <c r="D135" s="36">
        <f t="shared" si="48"/>
        <v>380</v>
      </c>
      <c r="E135" s="36">
        <f t="shared" si="48"/>
        <v>176</v>
      </c>
      <c r="F135" s="36">
        <f t="shared" si="48"/>
        <v>124</v>
      </c>
      <c r="G135" s="37">
        <f t="shared" si="48"/>
        <v>178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246</v>
      </c>
      <c r="D143" s="36">
        <f t="shared" si="53"/>
        <v>380</v>
      </c>
      <c r="E143" s="36">
        <f t="shared" si="53"/>
        <v>176</v>
      </c>
      <c r="F143" s="36">
        <f t="shared" si="53"/>
        <v>124</v>
      </c>
      <c r="G143" s="37">
        <f t="shared" si="53"/>
        <v>178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246</v>
      </c>
      <c r="D148" s="36">
        <f t="shared" si="54"/>
        <v>380</v>
      </c>
      <c r="E148" s="36">
        <f t="shared" si="54"/>
        <v>176</v>
      </c>
      <c r="F148" s="36">
        <f t="shared" si="54"/>
        <v>124</v>
      </c>
      <c r="G148" s="37">
        <f t="shared" si="54"/>
        <v>178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246</v>
      </c>
      <c r="D156" s="36">
        <f t="shared" si="59"/>
        <v>380</v>
      </c>
      <c r="E156" s="36">
        <f t="shared" si="59"/>
        <v>176</v>
      </c>
      <c r="F156" s="36">
        <f t="shared" si="59"/>
        <v>124</v>
      </c>
      <c r="G156" s="37">
        <f t="shared" si="59"/>
        <v>178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246</v>
      </c>
      <c r="D161" s="36">
        <f t="shared" si="60"/>
        <v>380</v>
      </c>
      <c r="E161" s="36">
        <f t="shared" si="60"/>
        <v>176</v>
      </c>
      <c r="F161" s="36">
        <f t="shared" si="60"/>
        <v>124</v>
      </c>
      <c r="G161" s="37">
        <f t="shared" si="60"/>
        <v>178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246</v>
      </c>
      <c r="D169" s="36">
        <f t="shared" si="65"/>
        <v>380</v>
      </c>
      <c r="E169" s="36">
        <f t="shared" si="65"/>
        <v>176</v>
      </c>
      <c r="F169" s="36">
        <f t="shared" si="65"/>
        <v>124</v>
      </c>
      <c r="G169" s="37">
        <f t="shared" si="65"/>
        <v>178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246</v>
      </c>
      <c r="D174" s="36">
        <f t="shared" ref="D174:G174" si="66">SUM(D161,D173)</f>
        <v>380</v>
      </c>
      <c r="E174" s="36">
        <f t="shared" si="66"/>
        <v>176</v>
      </c>
      <c r="F174" s="36">
        <f t="shared" si="66"/>
        <v>124</v>
      </c>
      <c r="G174" s="37">
        <f t="shared" si="66"/>
        <v>178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246</v>
      </c>
      <c r="D182" s="36">
        <f t="shared" si="71"/>
        <v>380</v>
      </c>
      <c r="E182" s="36">
        <f t="shared" si="71"/>
        <v>176</v>
      </c>
      <c r="F182" s="36">
        <f t="shared" si="71"/>
        <v>124</v>
      </c>
      <c r="G182" s="37">
        <f t="shared" si="71"/>
        <v>178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246</v>
      </c>
      <c r="D187" s="36">
        <f t="shared" ref="D187:G187" si="72">SUM(D174,D186)</f>
        <v>380</v>
      </c>
      <c r="E187" s="36">
        <f t="shared" si="72"/>
        <v>176</v>
      </c>
      <c r="F187" s="36">
        <f t="shared" si="72"/>
        <v>124</v>
      </c>
      <c r="G187" s="37">
        <f t="shared" si="72"/>
        <v>178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246</v>
      </c>
      <c r="D195" s="36">
        <f t="shared" si="77"/>
        <v>380</v>
      </c>
      <c r="E195" s="36">
        <f t="shared" si="77"/>
        <v>176</v>
      </c>
      <c r="F195" s="36">
        <f t="shared" si="77"/>
        <v>124</v>
      </c>
      <c r="G195" s="37">
        <f t="shared" si="77"/>
        <v>178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246</v>
      </c>
      <c r="D200" s="36">
        <f t="shared" ref="D200:G200" si="78">SUM(D187,D199)</f>
        <v>380</v>
      </c>
      <c r="E200" s="36">
        <f t="shared" si="78"/>
        <v>176</v>
      </c>
      <c r="F200" s="36">
        <f t="shared" si="78"/>
        <v>124</v>
      </c>
      <c r="G200" s="37">
        <f t="shared" si="78"/>
        <v>178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246</v>
      </c>
      <c r="D208" s="36">
        <f t="shared" si="83"/>
        <v>380</v>
      </c>
      <c r="E208" s="36">
        <f t="shared" si="83"/>
        <v>176</v>
      </c>
      <c r="F208" s="36">
        <f t="shared" si="83"/>
        <v>124</v>
      </c>
      <c r="G208" s="37">
        <f t="shared" si="83"/>
        <v>178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246</v>
      </c>
      <c r="D213" s="36">
        <f t="shared" si="84"/>
        <v>380</v>
      </c>
      <c r="E213" s="36">
        <f t="shared" si="84"/>
        <v>176</v>
      </c>
      <c r="F213" s="36">
        <f t="shared" si="84"/>
        <v>124</v>
      </c>
      <c r="G213" s="37">
        <f t="shared" si="84"/>
        <v>178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246</v>
      </c>
      <c r="D221" s="36">
        <f t="shared" si="88"/>
        <v>380</v>
      </c>
      <c r="E221" s="36">
        <f t="shared" si="88"/>
        <v>176</v>
      </c>
      <c r="F221" s="36">
        <f t="shared" si="88"/>
        <v>124</v>
      </c>
      <c r="G221" s="37">
        <f t="shared" si="88"/>
        <v>178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246</v>
      </c>
      <c r="D226" s="36">
        <f t="shared" si="89"/>
        <v>380</v>
      </c>
      <c r="E226" s="36">
        <f t="shared" si="89"/>
        <v>176</v>
      </c>
      <c r="F226" s="36">
        <f t="shared" si="89"/>
        <v>124</v>
      </c>
      <c r="G226" s="37">
        <f t="shared" si="89"/>
        <v>178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246</v>
      </c>
      <c r="D234" s="36">
        <f t="shared" si="94"/>
        <v>380</v>
      </c>
      <c r="E234" s="36">
        <f t="shared" si="94"/>
        <v>176</v>
      </c>
      <c r="F234" s="36">
        <f t="shared" si="94"/>
        <v>124</v>
      </c>
      <c r="G234" s="37">
        <f t="shared" si="94"/>
        <v>178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246</v>
      </c>
      <c r="D239" s="36">
        <f t="shared" si="95"/>
        <v>380</v>
      </c>
      <c r="E239" s="36">
        <f t="shared" si="95"/>
        <v>176</v>
      </c>
      <c r="F239" s="36">
        <f t="shared" si="95"/>
        <v>124</v>
      </c>
      <c r="G239" s="37">
        <f>SUM(G226,G238)</f>
        <v>178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246</v>
      </c>
      <c r="D247" s="36">
        <f t="shared" si="100"/>
        <v>380</v>
      </c>
      <c r="E247" s="36">
        <f t="shared" si="100"/>
        <v>176</v>
      </c>
      <c r="F247" s="36">
        <f t="shared" si="100"/>
        <v>124</v>
      </c>
      <c r="G247" s="37">
        <f t="shared" si="100"/>
        <v>178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246</v>
      </c>
      <c r="D252" s="36">
        <f t="shared" si="101"/>
        <v>380</v>
      </c>
      <c r="E252" s="36">
        <f t="shared" si="101"/>
        <v>176</v>
      </c>
      <c r="F252" s="36">
        <f t="shared" si="101"/>
        <v>124</v>
      </c>
      <c r="G252" s="37">
        <f>SUM(G239,G251)</f>
        <v>178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246</v>
      </c>
      <c r="D260" s="36">
        <f t="shared" si="106"/>
        <v>380</v>
      </c>
      <c r="E260" s="36">
        <f t="shared" si="106"/>
        <v>176</v>
      </c>
      <c r="F260" s="36">
        <f t="shared" si="106"/>
        <v>124</v>
      </c>
      <c r="G260" s="37">
        <f t="shared" si="106"/>
        <v>178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246</v>
      </c>
      <c r="D265" s="36">
        <f t="shared" si="107"/>
        <v>380</v>
      </c>
      <c r="E265" s="36">
        <f t="shared" si="107"/>
        <v>176</v>
      </c>
      <c r="F265" s="36">
        <f t="shared" si="107"/>
        <v>124</v>
      </c>
      <c r="G265" s="37">
        <f>SUM(G252,G264)</f>
        <v>178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246</v>
      </c>
      <c r="D273" s="36">
        <f t="shared" si="112"/>
        <v>380</v>
      </c>
      <c r="E273" s="36">
        <f t="shared" si="112"/>
        <v>176</v>
      </c>
      <c r="F273" s="36">
        <f t="shared" si="112"/>
        <v>124</v>
      </c>
      <c r="G273" s="37">
        <f t="shared" si="112"/>
        <v>178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246</v>
      </c>
      <c r="D278" s="36">
        <f t="shared" si="113"/>
        <v>380</v>
      </c>
      <c r="E278" s="36">
        <f t="shared" si="113"/>
        <v>176</v>
      </c>
      <c r="F278" s="36">
        <f t="shared" si="113"/>
        <v>124</v>
      </c>
      <c r="G278" s="37">
        <f>SUM(G265,G277)</f>
        <v>178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246</v>
      </c>
      <c r="D286" s="36">
        <f t="shared" si="118"/>
        <v>380</v>
      </c>
      <c r="E286" s="36">
        <f t="shared" si="118"/>
        <v>176</v>
      </c>
      <c r="F286" s="36">
        <f t="shared" si="118"/>
        <v>124</v>
      </c>
      <c r="G286" s="37">
        <f t="shared" si="118"/>
        <v>178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246</v>
      </c>
      <c r="D291" s="36">
        <f t="shared" si="119"/>
        <v>380</v>
      </c>
      <c r="E291" s="36">
        <f t="shared" si="119"/>
        <v>176</v>
      </c>
      <c r="F291" s="36">
        <f t="shared" si="119"/>
        <v>124</v>
      </c>
      <c r="G291" s="37">
        <f>SUM(G278,G290)</f>
        <v>178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246</v>
      </c>
      <c r="D299" s="36">
        <f t="shared" si="124"/>
        <v>380</v>
      </c>
      <c r="E299" s="36">
        <f t="shared" si="124"/>
        <v>176</v>
      </c>
      <c r="F299" s="36">
        <f t="shared" si="124"/>
        <v>124</v>
      </c>
      <c r="G299" s="37">
        <f t="shared" si="124"/>
        <v>178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246</v>
      </c>
      <c r="D304" s="36">
        <f t="shared" si="125"/>
        <v>380</v>
      </c>
      <c r="E304" s="36">
        <f t="shared" si="125"/>
        <v>176</v>
      </c>
      <c r="F304" s="36">
        <f t="shared" si="125"/>
        <v>124</v>
      </c>
      <c r="G304" s="37">
        <f t="shared" si="125"/>
        <v>178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246</v>
      </c>
      <c r="D312" s="36">
        <f t="shared" si="130"/>
        <v>380</v>
      </c>
      <c r="E312" s="36">
        <f t="shared" si="130"/>
        <v>176</v>
      </c>
      <c r="F312" s="36">
        <f t="shared" si="130"/>
        <v>124</v>
      </c>
      <c r="G312" s="37">
        <f t="shared" si="130"/>
        <v>178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246</v>
      </c>
      <c r="D317" s="36">
        <f t="shared" si="131"/>
        <v>380</v>
      </c>
      <c r="E317" s="36">
        <f t="shared" si="131"/>
        <v>176</v>
      </c>
      <c r="F317" s="36">
        <f t="shared" si="131"/>
        <v>124</v>
      </c>
      <c r="G317" s="37">
        <f t="shared" si="131"/>
        <v>178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246</v>
      </c>
      <c r="D325" s="36">
        <f t="shared" si="136"/>
        <v>380</v>
      </c>
      <c r="E325" s="36">
        <f t="shared" si="136"/>
        <v>176</v>
      </c>
      <c r="F325" s="36">
        <f t="shared" si="136"/>
        <v>124</v>
      </c>
      <c r="G325" s="37">
        <f t="shared" si="136"/>
        <v>178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246</v>
      </c>
      <c r="D330" s="36">
        <f t="shared" si="137"/>
        <v>380</v>
      </c>
      <c r="E330" s="36">
        <f t="shared" si="137"/>
        <v>176</v>
      </c>
      <c r="F330" s="36">
        <f t="shared" si="137"/>
        <v>124</v>
      </c>
      <c r="G330" s="37">
        <f t="shared" si="137"/>
        <v>178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246</v>
      </c>
      <c r="D338" s="36">
        <f t="shared" si="142"/>
        <v>380</v>
      </c>
      <c r="E338" s="36">
        <f t="shared" si="142"/>
        <v>176</v>
      </c>
      <c r="F338" s="36">
        <f t="shared" si="142"/>
        <v>124</v>
      </c>
      <c r="G338" s="37">
        <f t="shared" si="142"/>
        <v>178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246</v>
      </c>
      <c r="D343" s="36">
        <f t="shared" si="143"/>
        <v>380</v>
      </c>
      <c r="E343" s="36">
        <f t="shared" si="143"/>
        <v>176</v>
      </c>
      <c r="F343" s="36">
        <f t="shared" si="143"/>
        <v>124</v>
      </c>
      <c r="G343" s="37">
        <f t="shared" si="143"/>
        <v>178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246</v>
      </c>
      <c r="D351" s="36">
        <f t="shared" si="148"/>
        <v>380</v>
      </c>
      <c r="E351" s="36">
        <f t="shared" si="148"/>
        <v>176</v>
      </c>
      <c r="F351" s="36">
        <f t="shared" si="148"/>
        <v>124</v>
      </c>
      <c r="G351" s="37">
        <f t="shared" si="148"/>
        <v>178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246</v>
      </c>
      <c r="D356" s="36">
        <f t="shared" si="149"/>
        <v>380</v>
      </c>
      <c r="E356" s="36">
        <f t="shared" si="149"/>
        <v>176</v>
      </c>
      <c r="F356" s="36">
        <f t="shared" si="149"/>
        <v>124</v>
      </c>
      <c r="G356" s="37">
        <f t="shared" si="149"/>
        <v>178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246</v>
      </c>
      <c r="D364" s="36">
        <f t="shared" si="154"/>
        <v>380</v>
      </c>
      <c r="E364" s="36">
        <f t="shared" si="154"/>
        <v>176</v>
      </c>
      <c r="F364" s="36">
        <f t="shared" si="154"/>
        <v>124</v>
      </c>
      <c r="G364" s="37">
        <f t="shared" si="154"/>
        <v>178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246</v>
      </c>
      <c r="D369" s="36">
        <f t="shared" si="155"/>
        <v>380</v>
      </c>
      <c r="E369" s="36">
        <f t="shared" si="155"/>
        <v>176</v>
      </c>
      <c r="F369" s="36">
        <f t="shared" si="155"/>
        <v>124</v>
      </c>
      <c r="G369" s="37">
        <f t="shared" si="155"/>
        <v>178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246</v>
      </c>
      <c r="D377" s="36">
        <f t="shared" si="160"/>
        <v>380</v>
      </c>
      <c r="E377" s="36">
        <f t="shared" si="160"/>
        <v>176</v>
      </c>
      <c r="F377" s="36">
        <f t="shared" si="160"/>
        <v>124</v>
      </c>
      <c r="G377" s="37">
        <f t="shared" si="160"/>
        <v>178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246</v>
      </c>
      <c r="D382" s="36">
        <f t="shared" si="161"/>
        <v>380</v>
      </c>
      <c r="E382" s="36">
        <f t="shared" si="161"/>
        <v>176</v>
      </c>
      <c r="F382" s="36">
        <f t="shared" si="161"/>
        <v>124</v>
      </c>
      <c r="G382" s="37">
        <f t="shared" si="161"/>
        <v>178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246</v>
      </c>
      <c r="D390" s="36">
        <f t="shared" si="166"/>
        <v>380</v>
      </c>
      <c r="E390" s="36">
        <f t="shared" si="166"/>
        <v>176</v>
      </c>
      <c r="F390" s="36">
        <f t="shared" si="166"/>
        <v>124</v>
      </c>
      <c r="G390" s="37">
        <f t="shared" si="166"/>
        <v>178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246</v>
      </c>
      <c r="D395" s="36">
        <f t="shared" si="167"/>
        <v>380</v>
      </c>
      <c r="E395" s="36">
        <f t="shared" si="167"/>
        <v>176</v>
      </c>
      <c r="F395" s="36">
        <f t="shared" si="167"/>
        <v>124</v>
      </c>
      <c r="G395" s="37">
        <f t="shared" si="167"/>
        <v>178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246</v>
      </c>
      <c r="D403" s="36">
        <f t="shared" si="172"/>
        <v>380</v>
      </c>
      <c r="E403" s="36">
        <f t="shared" si="172"/>
        <v>176</v>
      </c>
      <c r="F403" s="36">
        <f t="shared" si="172"/>
        <v>124</v>
      </c>
      <c r="G403" s="37">
        <f t="shared" si="172"/>
        <v>178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C19" sqref="C19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100</v>
      </c>
      <c r="D4" s="27">
        <f>心斎橋!F3</f>
        <v>90</v>
      </c>
      <c r="E4" s="27">
        <f>心斎橋!H3</f>
        <v>80</v>
      </c>
      <c r="F4" s="27">
        <f>心斎橋!J3</f>
        <v>40</v>
      </c>
      <c r="G4" s="28">
        <f>心斎橋!L3</f>
        <v>40</v>
      </c>
    </row>
    <row r="5" spans="2:7" ht="27.5" customHeight="1" thickBot="1">
      <c r="B5" s="29"/>
      <c r="C5" s="30">
        <f>ABS(C4)</f>
        <v>100</v>
      </c>
      <c r="D5" s="30">
        <f>ABS(D4)</f>
        <v>90</v>
      </c>
      <c r="E5" s="30">
        <f>ABS(E4)</f>
        <v>80</v>
      </c>
      <c r="F5" s="30">
        <f>ABS(F4)</f>
        <v>40</v>
      </c>
      <c r="G5" s="31">
        <f>ABS(G4)</f>
        <v>40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梅田!C37</f>
        <v>0</v>
      </c>
      <c r="D10" s="33">
        <f>梅田!E37</f>
        <v>0</v>
      </c>
      <c r="E10" s="33">
        <f>梅田!G37</f>
        <v>0</v>
      </c>
      <c r="F10" s="33">
        <f>梅田!I37</f>
        <v>0</v>
      </c>
      <c r="G10" s="34">
        <f>梅田!K37</f>
        <v>0</v>
      </c>
    </row>
    <row r="11" spans="2:7" ht="27.5" customHeight="1" thickBot="1">
      <c r="B11" s="35"/>
      <c r="C11" s="36">
        <f>梅田!D37</f>
        <v>0</v>
      </c>
      <c r="D11" s="36">
        <f>梅田!F37</f>
        <v>0</v>
      </c>
      <c r="E11" s="36">
        <f>梅田!H37</f>
        <v>0</v>
      </c>
      <c r="F11" s="36">
        <f>梅田!J37</f>
        <v>0</v>
      </c>
      <c r="G11" s="37">
        <f>梅田!L37</f>
        <v>0</v>
      </c>
    </row>
    <row r="12" spans="2:7" ht="27.5" customHeight="1">
      <c r="B12" s="32" t="s">
        <v>4</v>
      </c>
      <c r="C12" s="33">
        <f t="shared" ref="C12:E13" si="0">SUM(C4,C6,C8,C10)</f>
        <v>100</v>
      </c>
      <c r="D12" s="33">
        <f t="shared" si="0"/>
        <v>90</v>
      </c>
      <c r="E12" s="33">
        <f t="shared" si="0"/>
        <v>80</v>
      </c>
      <c r="F12" s="33">
        <f>SUM(F4,F6,F8,F10,)</f>
        <v>40</v>
      </c>
      <c r="G12" s="34">
        <f>SUM(G4,G6,G8,G10)</f>
        <v>40</v>
      </c>
    </row>
    <row r="13" spans="2:7" ht="27.5" customHeight="1" thickBot="1">
      <c r="B13" s="35" t="s">
        <v>5</v>
      </c>
      <c r="C13" s="36">
        <f t="shared" si="0"/>
        <v>100</v>
      </c>
      <c r="D13" s="36">
        <f t="shared" si="0"/>
        <v>90</v>
      </c>
      <c r="E13" s="36">
        <f t="shared" si="0"/>
        <v>80</v>
      </c>
      <c r="F13" s="36">
        <f>SUM(F5,F7,F9,F11)</f>
        <v>40</v>
      </c>
      <c r="G13" s="37">
        <f>SUM(G5,G7,G9,G11)</f>
        <v>40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23</v>
      </c>
      <c r="D17" s="33">
        <f>心斎橋!E4</f>
        <v>100</v>
      </c>
      <c r="E17" s="33">
        <f>心斎橋!G4</f>
        <v>8</v>
      </c>
      <c r="F17" s="33">
        <f>心斎橋!I4</f>
        <v>22</v>
      </c>
      <c r="G17" s="34">
        <f>心斎橋!K4</f>
        <v>49</v>
      </c>
    </row>
    <row r="18" spans="2:7" ht="27.5" customHeight="1" thickBot="1">
      <c r="B18" s="35"/>
      <c r="C18" s="36">
        <f>SUM(C5,C17)</f>
        <v>123</v>
      </c>
      <c r="D18" s="36">
        <f t="shared" ref="D18:G18" si="1">SUM(D5,D17)</f>
        <v>190</v>
      </c>
      <c r="E18" s="36">
        <f t="shared" si="1"/>
        <v>88</v>
      </c>
      <c r="F18" s="36">
        <f t="shared" si="1"/>
        <v>62</v>
      </c>
      <c r="G18" s="37">
        <f t="shared" si="1"/>
        <v>89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梅田!C38</f>
        <v>0</v>
      </c>
      <c r="D23" s="33">
        <f>梅田!E38</f>
        <v>0</v>
      </c>
      <c r="E23" s="33">
        <f>梅田!G38</f>
        <v>0</v>
      </c>
      <c r="F23" s="33">
        <f>梅田!I38</f>
        <v>0</v>
      </c>
      <c r="G23" s="34">
        <f>梅田!K38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23</v>
      </c>
      <c r="D25" s="33">
        <f>SUM(D17,D19,D21,D23)</f>
        <v>100</v>
      </c>
      <c r="E25" s="33">
        <f>SUM(E17,E19,E21,E23)</f>
        <v>8</v>
      </c>
      <c r="F25" s="33">
        <f>SUM(F17,F19,F21,F23)</f>
        <v>22</v>
      </c>
      <c r="G25" s="34">
        <f>SUM(G17,G19,G21,G23)</f>
        <v>49</v>
      </c>
    </row>
    <row r="26" spans="2:7" ht="27.5" customHeight="1" thickBot="1">
      <c r="B26" s="35" t="s">
        <v>5</v>
      </c>
      <c r="C26" s="36">
        <f t="shared" ref="C26:G26" si="5">SUM(C13,C25)</f>
        <v>123</v>
      </c>
      <c r="D26" s="36">
        <f t="shared" si="5"/>
        <v>190</v>
      </c>
      <c r="E26" s="36">
        <f t="shared" si="5"/>
        <v>88</v>
      </c>
      <c r="F26" s="36">
        <f t="shared" si="5"/>
        <v>62</v>
      </c>
      <c r="G26" s="37">
        <f t="shared" si="5"/>
        <v>89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123</v>
      </c>
      <c r="D30" s="33">
        <f>心斎橋!E5</f>
        <v>190</v>
      </c>
      <c r="E30" s="33">
        <f>心斎橋!G5</f>
        <v>88</v>
      </c>
      <c r="F30" s="33">
        <f>心斎橋!I5</f>
        <v>62</v>
      </c>
      <c r="G30" s="34">
        <f>心斎橋!K5</f>
        <v>89</v>
      </c>
    </row>
    <row r="31" spans="2:7" ht="27.5" customHeight="1" thickBot="1">
      <c r="B31" s="35"/>
      <c r="C31" s="36">
        <f t="shared" ref="C31:G31" si="6">SUM(C18,C30)</f>
        <v>246</v>
      </c>
      <c r="D31" s="36">
        <f t="shared" si="6"/>
        <v>380</v>
      </c>
      <c r="E31" s="36">
        <f t="shared" si="6"/>
        <v>176</v>
      </c>
      <c r="F31" s="36">
        <f t="shared" si="6"/>
        <v>124</v>
      </c>
      <c r="G31" s="37">
        <f t="shared" si="6"/>
        <v>178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梅田!C39</f>
        <v>0</v>
      </c>
      <c r="D36" s="33">
        <f>梅田!E39</f>
        <v>0</v>
      </c>
      <c r="E36" s="33">
        <f>梅田!G39</f>
        <v>0</v>
      </c>
      <c r="F36" s="33">
        <f>梅田!I39</f>
        <v>0</v>
      </c>
      <c r="G36" s="34">
        <f>梅田!K39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123</v>
      </c>
      <c r="D38" s="33">
        <f>SUM(D30,D32,D34,D36)</f>
        <v>190</v>
      </c>
      <c r="E38" s="33">
        <f>SUM(E30,E32,E34,E36)</f>
        <v>88</v>
      </c>
      <c r="F38" s="33">
        <f>SUM(F30,F32,F34,F36)</f>
        <v>62</v>
      </c>
      <c r="G38" s="34">
        <f>SUM(G30,G32,G34,G36)</f>
        <v>89</v>
      </c>
    </row>
    <row r="39" spans="2:7" ht="27.5" customHeight="1" thickBot="1">
      <c r="B39" s="35" t="s">
        <v>5</v>
      </c>
      <c r="C39" s="36">
        <f t="shared" ref="C39:G39" si="10">SUM(C26,C38)</f>
        <v>246</v>
      </c>
      <c r="D39" s="36">
        <f t="shared" si="10"/>
        <v>380</v>
      </c>
      <c r="E39" s="36">
        <f t="shared" si="10"/>
        <v>176</v>
      </c>
      <c r="F39" s="36">
        <f t="shared" si="10"/>
        <v>124</v>
      </c>
      <c r="G39" s="37">
        <f t="shared" si="10"/>
        <v>178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246</v>
      </c>
      <c r="D44" s="36">
        <f t="shared" si="11"/>
        <v>380</v>
      </c>
      <c r="E44" s="36">
        <f t="shared" si="11"/>
        <v>176</v>
      </c>
      <c r="F44" s="36">
        <f t="shared" si="11"/>
        <v>124</v>
      </c>
      <c r="G44" s="37">
        <f t="shared" si="11"/>
        <v>178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梅田!C40</f>
        <v>0</v>
      </c>
      <c r="D49" s="33">
        <f>梅田!E40</f>
        <v>0</v>
      </c>
      <c r="E49" s="33">
        <f>梅田!G40</f>
        <v>0</v>
      </c>
      <c r="F49" s="33">
        <f>梅田!I40</f>
        <v>0</v>
      </c>
      <c r="G49" s="34">
        <f>梅田!K40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246</v>
      </c>
      <c r="D52" s="36">
        <f t="shared" si="16"/>
        <v>380</v>
      </c>
      <c r="E52" s="36">
        <f t="shared" si="16"/>
        <v>176</v>
      </c>
      <c r="F52" s="36">
        <f t="shared" si="16"/>
        <v>124</v>
      </c>
      <c r="G52" s="37">
        <f t="shared" si="16"/>
        <v>178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246</v>
      </c>
      <c r="D57" s="36">
        <f t="shared" si="17"/>
        <v>380</v>
      </c>
      <c r="E57" s="36">
        <f t="shared" si="17"/>
        <v>176</v>
      </c>
      <c r="F57" s="36">
        <f t="shared" si="17"/>
        <v>124</v>
      </c>
      <c r="G57" s="37">
        <f t="shared" si="17"/>
        <v>178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梅田!C41</f>
        <v>0</v>
      </c>
      <c r="D62" s="33">
        <f>梅田!E41</f>
        <v>0</v>
      </c>
      <c r="E62" s="33">
        <f>梅田!G41</f>
        <v>0</v>
      </c>
      <c r="F62" s="33">
        <f>梅田!I41</f>
        <v>0</v>
      </c>
      <c r="G62" s="34">
        <f>梅田!K41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246</v>
      </c>
      <c r="D65" s="36">
        <f t="shared" si="21"/>
        <v>380</v>
      </c>
      <c r="E65" s="36">
        <f t="shared" si="21"/>
        <v>176</v>
      </c>
      <c r="F65" s="36">
        <f t="shared" si="21"/>
        <v>124</v>
      </c>
      <c r="G65" s="37">
        <f t="shared" si="21"/>
        <v>178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246</v>
      </c>
      <c r="D70" s="36">
        <f t="shared" si="22"/>
        <v>380</v>
      </c>
      <c r="E70" s="36">
        <f t="shared" si="22"/>
        <v>176</v>
      </c>
      <c r="F70" s="36">
        <f t="shared" si="22"/>
        <v>124</v>
      </c>
      <c r="G70" s="37">
        <f t="shared" si="22"/>
        <v>178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梅田!C42</f>
        <v>0</v>
      </c>
      <c r="D75" s="33">
        <f>梅田!E42</f>
        <v>0</v>
      </c>
      <c r="E75" s="33">
        <f>梅田!G42</f>
        <v>0</v>
      </c>
      <c r="F75" s="33">
        <f>梅田!I42</f>
        <v>0</v>
      </c>
      <c r="G75" s="34">
        <f>梅田!K42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246</v>
      </c>
      <c r="D78" s="36">
        <f t="shared" si="26"/>
        <v>380</v>
      </c>
      <c r="E78" s="36">
        <f t="shared" si="26"/>
        <v>176</v>
      </c>
      <c r="F78" s="36">
        <f t="shared" si="26"/>
        <v>124</v>
      </c>
      <c r="G78" s="37">
        <f t="shared" si="26"/>
        <v>178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246</v>
      </c>
      <c r="D83" s="36">
        <f t="shared" si="27"/>
        <v>380</v>
      </c>
      <c r="E83" s="36">
        <f t="shared" si="27"/>
        <v>176</v>
      </c>
      <c r="F83" s="36">
        <f t="shared" si="27"/>
        <v>124</v>
      </c>
      <c r="G83" s="37">
        <f t="shared" si="27"/>
        <v>178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梅田!C43</f>
        <v>0</v>
      </c>
      <c r="D88" s="33">
        <f>梅田!E43</f>
        <v>0</v>
      </c>
      <c r="E88" s="33">
        <f>梅田!G43</f>
        <v>0</v>
      </c>
      <c r="F88" s="33">
        <f>梅田!I43</f>
        <v>0</v>
      </c>
      <c r="G88" s="34">
        <f>梅田!K43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246</v>
      </c>
      <c r="D91" s="36">
        <f t="shared" si="31"/>
        <v>380</v>
      </c>
      <c r="E91" s="36">
        <f t="shared" si="31"/>
        <v>176</v>
      </c>
      <c r="F91" s="36">
        <f t="shared" si="31"/>
        <v>124</v>
      </c>
      <c r="G91" s="37">
        <f t="shared" si="31"/>
        <v>178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246</v>
      </c>
      <c r="D96" s="36">
        <f t="shared" ref="D96:G96" si="32">SUM(D83,D95)</f>
        <v>380</v>
      </c>
      <c r="E96" s="36">
        <f t="shared" si="32"/>
        <v>176</v>
      </c>
      <c r="F96" s="36">
        <f t="shared" si="32"/>
        <v>124</v>
      </c>
      <c r="G96" s="37">
        <f t="shared" si="32"/>
        <v>178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梅田!C44</f>
        <v>0</v>
      </c>
      <c r="D101" s="33">
        <f>梅田!E44</f>
        <v>0</v>
      </c>
      <c r="E101" s="33">
        <f>梅田!G44</f>
        <v>0</v>
      </c>
      <c r="F101" s="33">
        <f>梅田!I44</f>
        <v>0</v>
      </c>
      <c r="G101" s="34">
        <f>梅田!K44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246</v>
      </c>
      <c r="D104" s="36">
        <f t="shared" ref="D104:G104" si="36">SUM(D91,D103)</f>
        <v>380</v>
      </c>
      <c r="E104" s="36">
        <f t="shared" si="36"/>
        <v>176</v>
      </c>
      <c r="F104" s="36">
        <f t="shared" si="36"/>
        <v>124</v>
      </c>
      <c r="G104" s="37">
        <f t="shared" si="36"/>
        <v>178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246</v>
      </c>
      <c r="D109" s="36">
        <f t="shared" si="37"/>
        <v>380</v>
      </c>
      <c r="E109" s="36">
        <f t="shared" si="37"/>
        <v>176</v>
      </c>
      <c r="F109" s="36">
        <f t="shared" si="37"/>
        <v>124</v>
      </c>
      <c r="G109" s="37">
        <f t="shared" si="37"/>
        <v>178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梅田!C45</f>
        <v>0</v>
      </c>
      <c r="D114" s="33">
        <f>梅田!E45</f>
        <v>0</v>
      </c>
      <c r="E114" s="33">
        <f>梅田!G45</f>
        <v>0</v>
      </c>
      <c r="F114" s="33">
        <f>梅田!I45</f>
        <v>0</v>
      </c>
      <c r="G114" s="34">
        <f>梅田!K45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246</v>
      </c>
      <c r="D117" s="36">
        <f t="shared" ref="D117:G117" si="41">SUM(D104,D116)</f>
        <v>380</v>
      </c>
      <c r="E117" s="36">
        <f t="shared" si="41"/>
        <v>176</v>
      </c>
      <c r="F117" s="36">
        <f t="shared" si="41"/>
        <v>124</v>
      </c>
      <c r="G117" s="37">
        <f t="shared" si="41"/>
        <v>178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246</v>
      </c>
      <c r="D122" s="36">
        <f t="shared" si="42"/>
        <v>380</v>
      </c>
      <c r="E122" s="36">
        <f t="shared" si="42"/>
        <v>176</v>
      </c>
      <c r="F122" s="36">
        <f t="shared" si="42"/>
        <v>124</v>
      </c>
      <c r="G122" s="37">
        <f t="shared" si="42"/>
        <v>178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梅田!C46</f>
        <v>0</v>
      </c>
      <c r="D127" s="33">
        <f>梅田!E46</f>
        <v>0</v>
      </c>
      <c r="E127" s="33">
        <f>梅田!G46</f>
        <v>0</v>
      </c>
      <c r="F127" s="33">
        <f>梅田!I46</f>
        <v>0</v>
      </c>
      <c r="G127" s="34">
        <f>梅田!K46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246</v>
      </c>
      <c r="D130" s="36">
        <f t="shared" si="47"/>
        <v>380</v>
      </c>
      <c r="E130" s="36">
        <f t="shared" si="47"/>
        <v>176</v>
      </c>
      <c r="F130" s="36">
        <f t="shared" si="47"/>
        <v>124</v>
      </c>
      <c r="G130" s="36">
        <f t="shared" si="47"/>
        <v>178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246</v>
      </c>
      <c r="D135" s="36">
        <f t="shared" si="48"/>
        <v>380</v>
      </c>
      <c r="E135" s="36">
        <f t="shared" si="48"/>
        <v>176</v>
      </c>
      <c r="F135" s="36">
        <f t="shared" si="48"/>
        <v>124</v>
      </c>
      <c r="G135" s="37">
        <f t="shared" si="48"/>
        <v>178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梅田!C47</f>
        <v>0</v>
      </c>
      <c r="D140" s="33">
        <f>梅田!E47</f>
        <v>0</v>
      </c>
      <c r="E140" s="33">
        <f>梅田!G47</f>
        <v>0</v>
      </c>
      <c r="F140" s="33">
        <f>梅田!I47</f>
        <v>0</v>
      </c>
      <c r="G140" s="34">
        <f>梅田!K47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246</v>
      </c>
      <c r="D143" s="36">
        <f t="shared" si="53"/>
        <v>380</v>
      </c>
      <c r="E143" s="36">
        <f t="shared" si="53"/>
        <v>176</v>
      </c>
      <c r="F143" s="36">
        <f t="shared" si="53"/>
        <v>124</v>
      </c>
      <c r="G143" s="37">
        <f t="shared" si="53"/>
        <v>178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246</v>
      </c>
      <c r="D148" s="36">
        <f t="shared" si="54"/>
        <v>380</v>
      </c>
      <c r="E148" s="36">
        <f t="shared" si="54"/>
        <v>176</v>
      </c>
      <c r="F148" s="36">
        <f t="shared" si="54"/>
        <v>124</v>
      </c>
      <c r="G148" s="37">
        <f t="shared" si="54"/>
        <v>178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梅田!C48</f>
        <v>0</v>
      </c>
      <c r="D153" s="33">
        <f>梅田!E48</f>
        <v>0</v>
      </c>
      <c r="E153" s="33">
        <f>梅田!G48</f>
        <v>0</v>
      </c>
      <c r="F153" s="33">
        <f>梅田!I48</f>
        <v>0</v>
      </c>
      <c r="G153" s="34">
        <f>梅田!K48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246</v>
      </c>
      <c r="D156" s="36">
        <f t="shared" si="59"/>
        <v>380</v>
      </c>
      <c r="E156" s="36">
        <f t="shared" si="59"/>
        <v>176</v>
      </c>
      <c r="F156" s="36">
        <f t="shared" si="59"/>
        <v>124</v>
      </c>
      <c r="G156" s="37">
        <f t="shared" si="59"/>
        <v>178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246</v>
      </c>
      <c r="D161" s="36">
        <f t="shared" si="60"/>
        <v>380</v>
      </c>
      <c r="E161" s="36">
        <f t="shared" si="60"/>
        <v>176</v>
      </c>
      <c r="F161" s="36">
        <f t="shared" si="60"/>
        <v>124</v>
      </c>
      <c r="G161" s="37">
        <f t="shared" si="60"/>
        <v>178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梅田!C49</f>
        <v>0</v>
      </c>
      <c r="D166" s="33">
        <f>梅田!E49</f>
        <v>0</v>
      </c>
      <c r="E166" s="33">
        <f>梅田!G49</f>
        <v>0</v>
      </c>
      <c r="F166" s="33">
        <f>梅田!I49</f>
        <v>0</v>
      </c>
      <c r="G166" s="34">
        <f>梅田!K49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246</v>
      </c>
      <c r="D169" s="36">
        <f t="shared" si="65"/>
        <v>380</v>
      </c>
      <c r="E169" s="36">
        <f t="shared" si="65"/>
        <v>176</v>
      </c>
      <c r="F169" s="36">
        <f t="shared" si="65"/>
        <v>124</v>
      </c>
      <c r="G169" s="37">
        <f t="shared" si="65"/>
        <v>178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246</v>
      </c>
      <c r="D174" s="36">
        <f t="shared" ref="D174:G174" si="66">SUM(D161,D173)</f>
        <v>380</v>
      </c>
      <c r="E174" s="36">
        <f t="shared" si="66"/>
        <v>176</v>
      </c>
      <c r="F174" s="36">
        <f t="shared" si="66"/>
        <v>124</v>
      </c>
      <c r="G174" s="37">
        <f t="shared" si="66"/>
        <v>178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梅田!C50</f>
        <v>0</v>
      </c>
      <c r="D179" s="33">
        <f>梅田!E50</f>
        <v>0</v>
      </c>
      <c r="E179" s="33">
        <f>梅田!G50</f>
        <v>0</v>
      </c>
      <c r="F179" s="33">
        <f>梅田!I50</f>
        <v>0</v>
      </c>
      <c r="G179" s="34">
        <f>梅田!K50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246</v>
      </c>
      <c r="D182" s="36">
        <f t="shared" si="71"/>
        <v>380</v>
      </c>
      <c r="E182" s="36">
        <f t="shared" si="71"/>
        <v>176</v>
      </c>
      <c r="F182" s="36">
        <f t="shared" si="71"/>
        <v>124</v>
      </c>
      <c r="G182" s="37">
        <f t="shared" si="71"/>
        <v>178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246</v>
      </c>
      <c r="D187" s="36">
        <f t="shared" ref="D187:G187" si="72">SUM(D174,D186)</f>
        <v>380</v>
      </c>
      <c r="E187" s="36">
        <f t="shared" si="72"/>
        <v>176</v>
      </c>
      <c r="F187" s="36">
        <f t="shared" si="72"/>
        <v>124</v>
      </c>
      <c r="G187" s="37">
        <f t="shared" si="72"/>
        <v>178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梅田!C51</f>
        <v>0</v>
      </c>
      <c r="D192" s="33">
        <f>梅田!E51</f>
        <v>0</v>
      </c>
      <c r="E192" s="33">
        <f>梅田!G51</f>
        <v>0</v>
      </c>
      <c r="F192" s="33">
        <f>梅田!I51</f>
        <v>0</v>
      </c>
      <c r="G192" s="34">
        <f>梅田!K51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246</v>
      </c>
      <c r="D195" s="36">
        <f t="shared" si="77"/>
        <v>380</v>
      </c>
      <c r="E195" s="36">
        <f t="shared" si="77"/>
        <v>176</v>
      </c>
      <c r="F195" s="36">
        <f t="shared" si="77"/>
        <v>124</v>
      </c>
      <c r="G195" s="37">
        <f t="shared" si="77"/>
        <v>178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246</v>
      </c>
      <c r="D200" s="36">
        <f t="shared" ref="D200:G200" si="78">SUM(D187,D199)</f>
        <v>380</v>
      </c>
      <c r="E200" s="36">
        <f t="shared" si="78"/>
        <v>176</v>
      </c>
      <c r="F200" s="36">
        <f t="shared" si="78"/>
        <v>124</v>
      </c>
      <c r="G200" s="37">
        <f t="shared" si="78"/>
        <v>178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梅田!C52</f>
        <v>0</v>
      </c>
      <c r="D205" s="33">
        <f>梅田!E52</f>
        <v>0</v>
      </c>
      <c r="E205" s="33">
        <f>梅田!G52</f>
        <v>0</v>
      </c>
      <c r="F205" s="33">
        <f>梅田!I52</f>
        <v>0</v>
      </c>
      <c r="G205" s="34">
        <f>梅田!K52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246</v>
      </c>
      <c r="D208" s="36">
        <f t="shared" si="83"/>
        <v>380</v>
      </c>
      <c r="E208" s="36">
        <f t="shared" si="83"/>
        <v>176</v>
      </c>
      <c r="F208" s="36">
        <f t="shared" si="83"/>
        <v>124</v>
      </c>
      <c r="G208" s="37">
        <f t="shared" si="83"/>
        <v>178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246</v>
      </c>
      <c r="D213" s="36">
        <f t="shared" si="84"/>
        <v>380</v>
      </c>
      <c r="E213" s="36">
        <f t="shared" si="84"/>
        <v>176</v>
      </c>
      <c r="F213" s="36">
        <f t="shared" si="84"/>
        <v>124</v>
      </c>
      <c r="G213" s="37">
        <f t="shared" si="84"/>
        <v>178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梅田!C53</f>
        <v>0</v>
      </c>
      <c r="D218" s="33">
        <f>梅田!E53</f>
        <v>0</v>
      </c>
      <c r="E218" s="33">
        <f>梅田!G53</f>
        <v>0</v>
      </c>
      <c r="F218" s="33">
        <f>梅田!I53</f>
        <v>0</v>
      </c>
      <c r="G218" s="34">
        <f>梅田!K53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246</v>
      </c>
      <c r="D221" s="36">
        <f t="shared" si="89"/>
        <v>380</v>
      </c>
      <c r="E221" s="36">
        <f t="shared" si="89"/>
        <v>176</v>
      </c>
      <c r="F221" s="36">
        <f t="shared" si="89"/>
        <v>124</v>
      </c>
      <c r="G221" s="37">
        <f t="shared" si="89"/>
        <v>178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246</v>
      </c>
      <c r="D226" s="36">
        <f t="shared" si="90"/>
        <v>380</v>
      </c>
      <c r="E226" s="36">
        <f t="shared" si="90"/>
        <v>176</v>
      </c>
      <c r="F226" s="36">
        <f t="shared" si="90"/>
        <v>124</v>
      </c>
      <c r="G226" s="37">
        <f t="shared" si="90"/>
        <v>178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梅田!C54</f>
        <v>0</v>
      </c>
      <c r="D231" s="33">
        <f>梅田!E54</f>
        <v>0</v>
      </c>
      <c r="E231" s="33">
        <f>梅田!G54</f>
        <v>0</v>
      </c>
      <c r="F231" s="33">
        <f>梅田!I54</f>
        <v>0</v>
      </c>
      <c r="G231" s="34">
        <f>梅田!K54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246</v>
      </c>
      <c r="D234" s="36">
        <f t="shared" si="95"/>
        <v>380</v>
      </c>
      <c r="E234" s="36">
        <f t="shared" si="95"/>
        <v>176</v>
      </c>
      <c r="F234" s="36">
        <f t="shared" si="95"/>
        <v>124</v>
      </c>
      <c r="G234" s="37">
        <f t="shared" si="95"/>
        <v>178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246</v>
      </c>
      <c r="D239" s="36">
        <f t="shared" si="96"/>
        <v>380</v>
      </c>
      <c r="E239" s="36">
        <f t="shared" si="96"/>
        <v>176</v>
      </c>
      <c r="F239" s="36">
        <f t="shared" si="96"/>
        <v>124</v>
      </c>
      <c r="G239" s="37">
        <f>SUM(G226,G238)</f>
        <v>178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梅田!C55</f>
        <v>0</v>
      </c>
      <c r="D244" s="33">
        <f>梅田!E55</f>
        <v>0</v>
      </c>
      <c r="E244" s="33">
        <f>梅田!G55</f>
        <v>0</v>
      </c>
      <c r="F244" s="33">
        <f>梅田!I55</f>
        <v>0</v>
      </c>
      <c r="G244" s="34">
        <f>梅田!K55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246</v>
      </c>
      <c r="D247" s="36">
        <f t="shared" si="101"/>
        <v>380</v>
      </c>
      <c r="E247" s="36">
        <f t="shared" si="101"/>
        <v>176</v>
      </c>
      <c r="F247" s="36">
        <f t="shared" si="101"/>
        <v>124</v>
      </c>
      <c r="G247" s="37">
        <f t="shared" si="101"/>
        <v>178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246</v>
      </c>
      <c r="D252" s="36">
        <f t="shared" si="102"/>
        <v>380</v>
      </c>
      <c r="E252" s="36">
        <f t="shared" si="102"/>
        <v>176</v>
      </c>
      <c r="F252" s="36">
        <f t="shared" si="102"/>
        <v>124</v>
      </c>
      <c r="G252" s="37">
        <f>SUM(G239,G251)</f>
        <v>178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梅田!C56</f>
        <v>0</v>
      </c>
      <c r="D257" s="33">
        <f>梅田!E56</f>
        <v>0</v>
      </c>
      <c r="E257" s="33">
        <f>梅田!G56</f>
        <v>0</v>
      </c>
      <c r="F257" s="33">
        <f>梅田!I56</f>
        <v>0</v>
      </c>
      <c r="G257" s="34">
        <f>梅田!K56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246</v>
      </c>
      <c r="D260" s="36">
        <f t="shared" si="107"/>
        <v>380</v>
      </c>
      <c r="E260" s="36">
        <f t="shared" si="107"/>
        <v>176</v>
      </c>
      <c r="F260" s="36">
        <f t="shared" si="107"/>
        <v>124</v>
      </c>
      <c r="G260" s="37">
        <f t="shared" si="107"/>
        <v>178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246</v>
      </c>
      <c r="D265" s="36">
        <f t="shared" si="108"/>
        <v>380</v>
      </c>
      <c r="E265" s="36">
        <f t="shared" si="108"/>
        <v>176</v>
      </c>
      <c r="F265" s="36">
        <f t="shared" si="108"/>
        <v>124</v>
      </c>
      <c r="G265" s="37">
        <f>SUM(G252,G264)</f>
        <v>178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梅田!C57</f>
        <v>0</v>
      </c>
      <c r="D270" s="33">
        <f>梅田!E57</f>
        <v>0</v>
      </c>
      <c r="E270" s="33">
        <f>梅田!G57</f>
        <v>0</v>
      </c>
      <c r="F270" s="33">
        <f>梅田!I57</f>
        <v>0</v>
      </c>
      <c r="G270" s="34">
        <f>梅田!K57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246</v>
      </c>
      <c r="D273" s="36">
        <f t="shared" si="113"/>
        <v>380</v>
      </c>
      <c r="E273" s="36">
        <f t="shared" si="113"/>
        <v>176</v>
      </c>
      <c r="F273" s="36">
        <f t="shared" si="113"/>
        <v>124</v>
      </c>
      <c r="G273" s="37">
        <f t="shared" si="113"/>
        <v>178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246</v>
      </c>
      <c r="D278" s="36">
        <f t="shared" si="114"/>
        <v>380</v>
      </c>
      <c r="E278" s="36">
        <f t="shared" si="114"/>
        <v>176</v>
      </c>
      <c r="F278" s="36">
        <f t="shared" si="114"/>
        <v>124</v>
      </c>
      <c r="G278" s="37">
        <f>SUM(G265,G277)</f>
        <v>178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梅田!C58</f>
        <v>0</v>
      </c>
      <c r="D283" s="33">
        <f>梅田!E58</f>
        <v>0</v>
      </c>
      <c r="E283" s="33">
        <f>梅田!G58</f>
        <v>0</v>
      </c>
      <c r="F283" s="33">
        <f>梅田!I58</f>
        <v>0</v>
      </c>
      <c r="G283" s="34">
        <f>梅田!K58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246</v>
      </c>
      <c r="D286" s="36">
        <f t="shared" si="119"/>
        <v>380</v>
      </c>
      <c r="E286" s="36">
        <f t="shared" si="119"/>
        <v>176</v>
      </c>
      <c r="F286" s="36">
        <f t="shared" si="119"/>
        <v>124</v>
      </c>
      <c r="G286" s="37">
        <f t="shared" si="119"/>
        <v>178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246</v>
      </c>
      <c r="D291" s="36">
        <f t="shared" si="120"/>
        <v>380</v>
      </c>
      <c r="E291" s="36">
        <f t="shared" si="120"/>
        <v>176</v>
      </c>
      <c r="F291" s="36">
        <f t="shared" si="120"/>
        <v>124</v>
      </c>
      <c r="G291" s="37">
        <f>SUM(G278,G290)</f>
        <v>178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梅田!C59</f>
        <v>0</v>
      </c>
      <c r="D296" s="33">
        <f>梅田!E59</f>
        <v>0</v>
      </c>
      <c r="E296" s="33">
        <f>梅田!G59</f>
        <v>0</v>
      </c>
      <c r="F296" s="33">
        <f>梅田!I59</f>
        <v>0</v>
      </c>
      <c r="G296" s="34">
        <f>梅田!K59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246</v>
      </c>
      <c r="D299" s="36">
        <f t="shared" si="125"/>
        <v>380</v>
      </c>
      <c r="E299" s="36">
        <f t="shared" si="125"/>
        <v>176</v>
      </c>
      <c r="F299" s="36">
        <f t="shared" si="125"/>
        <v>124</v>
      </c>
      <c r="G299" s="37">
        <f t="shared" si="125"/>
        <v>178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246</v>
      </c>
      <c r="D304" s="36">
        <f t="shared" si="126"/>
        <v>380</v>
      </c>
      <c r="E304" s="36">
        <f t="shared" si="126"/>
        <v>176</v>
      </c>
      <c r="F304" s="36">
        <f t="shared" si="126"/>
        <v>124</v>
      </c>
      <c r="G304" s="37">
        <f t="shared" si="126"/>
        <v>178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梅田!C60</f>
        <v>0</v>
      </c>
      <c r="D309" s="33">
        <f>梅田!E60</f>
        <v>0</v>
      </c>
      <c r="E309" s="33">
        <f>梅田!G60</f>
        <v>0</v>
      </c>
      <c r="F309" s="33">
        <f>梅田!I60</f>
        <v>0</v>
      </c>
      <c r="G309" s="34">
        <f>梅田!K60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246</v>
      </c>
      <c r="D312" s="36">
        <f t="shared" si="131"/>
        <v>380</v>
      </c>
      <c r="E312" s="36">
        <f t="shared" si="131"/>
        <v>176</v>
      </c>
      <c r="F312" s="36">
        <f t="shared" si="131"/>
        <v>124</v>
      </c>
      <c r="G312" s="37">
        <f t="shared" si="131"/>
        <v>178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246</v>
      </c>
      <c r="D317" s="36">
        <f t="shared" si="132"/>
        <v>380</v>
      </c>
      <c r="E317" s="36">
        <f t="shared" si="132"/>
        <v>176</v>
      </c>
      <c r="F317" s="36">
        <f t="shared" si="132"/>
        <v>124</v>
      </c>
      <c r="G317" s="37">
        <f t="shared" si="132"/>
        <v>178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梅田!C61</f>
        <v>0</v>
      </c>
      <c r="D322" s="33">
        <f>梅田!E61</f>
        <v>0</v>
      </c>
      <c r="E322" s="33">
        <f>梅田!G61</f>
        <v>0</v>
      </c>
      <c r="F322" s="33">
        <f>梅田!I61</f>
        <v>0</v>
      </c>
      <c r="G322" s="34">
        <f>梅田!K61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246</v>
      </c>
      <c r="D325" s="36">
        <f t="shared" si="137"/>
        <v>380</v>
      </c>
      <c r="E325" s="36">
        <f t="shared" si="137"/>
        <v>176</v>
      </c>
      <c r="F325" s="36">
        <f t="shared" si="137"/>
        <v>124</v>
      </c>
      <c r="G325" s="37">
        <f t="shared" si="137"/>
        <v>178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246</v>
      </c>
      <c r="D330" s="36">
        <f t="shared" si="138"/>
        <v>380</v>
      </c>
      <c r="E330" s="36">
        <f t="shared" si="138"/>
        <v>176</v>
      </c>
      <c r="F330" s="36">
        <f t="shared" si="138"/>
        <v>124</v>
      </c>
      <c r="G330" s="37">
        <f t="shared" si="138"/>
        <v>178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梅田!C62</f>
        <v>0</v>
      </c>
      <c r="D335" s="33">
        <f>梅田!E62</f>
        <v>0</v>
      </c>
      <c r="E335" s="33">
        <f>梅田!G62</f>
        <v>0</v>
      </c>
      <c r="F335" s="33">
        <f>梅田!I62</f>
        <v>0</v>
      </c>
      <c r="G335" s="34">
        <f>梅田!K62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246</v>
      </c>
      <c r="D338" s="36">
        <f t="shared" si="143"/>
        <v>380</v>
      </c>
      <c r="E338" s="36">
        <f t="shared" si="143"/>
        <v>176</v>
      </c>
      <c r="F338" s="36">
        <f t="shared" si="143"/>
        <v>124</v>
      </c>
      <c r="G338" s="37">
        <f t="shared" si="143"/>
        <v>178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246</v>
      </c>
      <c r="D343" s="36">
        <f t="shared" si="144"/>
        <v>380</v>
      </c>
      <c r="E343" s="36">
        <f t="shared" si="144"/>
        <v>176</v>
      </c>
      <c r="F343" s="36">
        <f t="shared" si="144"/>
        <v>124</v>
      </c>
      <c r="G343" s="37">
        <f t="shared" si="144"/>
        <v>178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梅田!C63</f>
        <v>0</v>
      </c>
      <c r="D348" s="33">
        <f>梅田!E63</f>
        <v>0</v>
      </c>
      <c r="E348" s="33">
        <f>梅田!G63</f>
        <v>0</v>
      </c>
      <c r="F348" s="33">
        <f>梅田!I63</f>
        <v>0</v>
      </c>
      <c r="G348" s="34">
        <f>梅田!K63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246</v>
      </c>
      <c r="D351" s="36">
        <f t="shared" si="149"/>
        <v>380</v>
      </c>
      <c r="E351" s="36">
        <f t="shared" si="149"/>
        <v>176</v>
      </c>
      <c r="F351" s="36">
        <f t="shared" si="149"/>
        <v>124</v>
      </c>
      <c r="G351" s="37">
        <f t="shared" si="149"/>
        <v>178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246</v>
      </c>
      <c r="D356" s="36">
        <f t="shared" si="150"/>
        <v>380</v>
      </c>
      <c r="E356" s="36">
        <f t="shared" si="150"/>
        <v>176</v>
      </c>
      <c r="F356" s="36">
        <f t="shared" si="150"/>
        <v>124</v>
      </c>
      <c r="G356" s="37">
        <f t="shared" si="150"/>
        <v>178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梅田!C64</f>
        <v>0</v>
      </c>
      <c r="D361" s="33">
        <f>梅田!E64</f>
        <v>0</v>
      </c>
      <c r="E361" s="33">
        <f>梅田!G64</f>
        <v>0</v>
      </c>
      <c r="F361" s="33">
        <f>梅田!I64</f>
        <v>0</v>
      </c>
      <c r="G361" s="34">
        <f>梅田!K64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246</v>
      </c>
      <c r="D364" s="36">
        <f t="shared" si="155"/>
        <v>380</v>
      </c>
      <c r="E364" s="36">
        <f t="shared" si="155"/>
        <v>176</v>
      </c>
      <c r="F364" s="36">
        <f t="shared" si="155"/>
        <v>124</v>
      </c>
      <c r="G364" s="37">
        <f t="shared" si="155"/>
        <v>178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246</v>
      </c>
      <c r="D369" s="36">
        <f t="shared" si="156"/>
        <v>380</v>
      </c>
      <c r="E369" s="36">
        <f t="shared" si="156"/>
        <v>176</v>
      </c>
      <c r="F369" s="36">
        <f t="shared" si="156"/>
        <v>124</v>
      </c>
      <c r="G369" s="37">
        <f t="shared" si="156"/>
        <v>178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梅田!C65</f>
        <v>0</v>
      </c>
      <c r="D374" s="33">
        <f>梅田!E65</f>
        <v>0</v>
      </c>
      <c r="E374" s="33">
        <f>梅田!G65</f>
        <v>0</v>
      </c>
      <c r="F374" s="33">
        <f>梅田!I65</f>
        <v>0</v>
      </c>
      <c r="G374" s="34">
        <f>梅田!K65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246</v>
      </c>
      <c r="D377" s="36">
        <f t="shared" si="161"/>
        <v>380</v>
      </c>
      <c r="E377" s="36">
        <f t="shared" si="161"/>
        <v>176</v>
      </c>
      <c r="F377" s="36">
        <f t="shared" si="161"/>
        <v>124</v>
      </c>
      <c r="G377" s="37">
        <f t="shared" si="161"/>
        <v>178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246</v>
      </c>
      <c r="D382" s="36">
        <f t="shared" si="162"/>
        <v>380</v>
      </c>
      <c r="E382" s="36">
        <f t="shared" si="162"/>
        <v>176</v>
      </c>
      <c r="F382" s="36">
        <f t="shared" si="162"/>
        <v>124</v>
      </c>
      <c r="G382" s="37">
        <f t="shared" si="162"/>
        <v>178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梅田!C66</f>
        <v>0</v>
      </c>
      <c r="D387" s="33">
        <f>梅田!E66</f>
        <v>0</v>
      </c>
      <c r="E387" s="33">
        <f>梅田!G66</f>
        <v>0</v>
      </c>
      <c r="F387" s="33">
        <f>梅田!I66</f>
        <v>0</v>
      </c>
      <c r="G387" s="34">
        <f>梅田!K66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246</v>
      </c>
      <c r="D390" s="36">
        <f t="shared" si="167"/>
        <v>380</v>
      </c>
      <c r="E390" s="36">
        <f t="shared" si="167"/>
        <v>176</v>
      </c>
      <c r="F390" s="36">
        <f t="shared" si="167"/>
        <v>124</v>
      </c>
      <c r="G390" s="37">
        <f t="shared" si="167"/>
        <v>178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246</v>
      </c>
      <c r="D395" s="36">
        <f t="shared" si="168"/>
        <v>380</v>
      </c>
      <c r="E395" s="36">
        <f t="shared" si="168"/>
        <v>176</v>
      </c>
      <c r="F395" s="36">
        <f t="shared" si="168"/>
        <v>124</v>
      </c>
      <c r="G395" s="37">
        <f t="shared" si="168"/>
        <v>178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梅田!C67</f>
        <v>0</v>
      </c>
      <c r="D400" s="33">
        <f>梅田!E67</f>
        <v>0</v>
      </c>
      <c r="E400" s="33">
        <f>梅田!G67</f>
        <v>0</v>
      </c>
      <c r="F400" s="33">
        <f>梅田!I67</f>
        <v>0</v>
      </c>
      <c r="G400" s="34">
        <f>梅田!K67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246</v>
      </c>
      <c r="D403" s="36">
        <f t="shared" si="173"/>
        <v>380</v>
      </c>
      <c r="E403" s="36">
        <f t="shared" si="173"/>
        <v>176</v>
      </c>
      <c r="F403" s="36">
        <f t="shared" si="173"/>
        <v>124</v>
      </c>
      <c r="G403" s="37">
        <f t="shared" si="173"/>
        <v>178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246</v>
      </c>
      <c r="D5" s="30">
        <f>SUM(D4,'6月'!D382)</f>
        <v>380</v>
      </c>
      <c r="E5" s="30">
        <f>SUM(E4,'6月'!E382)</f>
        <v>176</v>
      </c>
      <c r="F5" s="30">
        <f>SUM(F4,'6月'!F382)</f>
        <v>124</v>
      </c>
      <c r="G5" s="31">
        <f>SUM(G4,'6月'!G382)</f>
        <v>178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梅田!C72</f>
        <v>0</v>
      </c>
      <c r="D10" s="33">
        <f>梅田!E72</f>
        <v>0</v>
      </c>
      <c r="E10" s="33">
        <f>梅田!G72</f>
        <v>0</v>
      </c>
      <c r="F10" s="33">
        <f>梅田!I72</f>
        <v>0</v>
      </c>
      <c r="G10" s="34">
        <f>梅田!K72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246</v>
      </c>
      <c r="D13" s="36">
        <f t="shared" si="0"/>
        <v>380</v>
      </c>
      <c r="E13" s="36">
        <f t="shared" si="0"/>
        <v>176</v>
      </c>
      <c r="F13" s="36">
        <f>SUM(F5,F7,F9,F11)</f>
        <v>124</v>
      </c>
      <c r="G13" s="37">
        <f>SUM(G5,G7,G9,G11)</f>
        <v>178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246</v>
      </c>
      <c r="D18" s="36">
        <f t="shared" ref="D18:G18" si="1">SUM(D5,D17)</f>
        <v>380</v>
      </c>
      <c r="E18" s="36">
        <f t="shared" si="1"/>
        <v>176</v>
      </c>
      <c r="F18" s="36">
        <f t="shared" si="1"/>
        <v>124</v>
      </c>
      <c r="G18" s="37">
        <f t="shared" si="1"/>
        <v>178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梅田!C73</f>
        <v>0</v>
      </c>
      <c r="D23" s="33">
        <f>梅田!E73</f>
        <v>0</v>
      </c>
      <c r="E23" s="33">
        <f>梅田!G73</f>
        <v>0</v>
      </c>
      <c r="F23" s="33">
        <f>梅田!I73</f>
        <v>0</v>
      </c>
      <c r="G23" s="34">
        <f>梅田!K73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246</v>
      </c>
      <c r="D26" s="36">
        <f t="shared" si="5"/>
        <v>380</v>
      </c>
      <c r="E26" s="36">
        <f t="shared" si="5"/>
        <v>176</v>
      </c>
      <c r="F26" s="36">
        <f t="shared" si="5"/>
        <v>124</v>
      </c>
      <c r="G26" s="37">
        <f t="shared" si="5"/>
        <v>178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246</v>
      </c>
      <c r="D31" s="36">
        <f t="shared" si="6"/>
        <v>380</v>
      </c>
      <c r="E31" s="36">
        <f t="shared" si="6"/>
        <v>176</v>
      </c>
      <c r="F31" s="36">
        <f t="shared" si="6"/>
        <v>124</v>
      </c>
      <c r="G31" s="37">
        <f t="shared" si="6"/>
        <v>178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梅田!C74</f>
        <v>0</v>
      </c>
      <c r="D36" s="33">
        <f>梅田!E74</f>
        <v>0</v>
      </c>
      <c r="E36" s="33">
        <f>梅田!G74</f>
        <v>0</v>
      </c>
      <c r="F36" s="33">
        <f>梅田!I74</f>
        <v>0</v>
      </c>
      <c r="G36" s="34">
        <f>梅田!K74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246</v>
      </c>
      <c r="D39" s="36">
        <f t="shared" si="10"/>
        <v>380</v>
      </c>
      <c r="E39" s="36">
        <f t="shared" si="10"/>
        <v>176</v>
      </c>
      <c r="F39" s="36">
        <f t="shared" si="10"/>
        <v>124</v>
      </c>
      <c r="G39" s="37">
        <f t="shared" si="10"/>
        <v>178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246</v>
      </c>
      <c r="D44" s="36">
        <f t="shared" si="11"/>
        <v>380</v>
      </c>
      <c r="E44" s="36">
        <f t="shared" si="11"/>
        <v>176</v>
      </c>
      <c r="F44" s="36">
        <f t="shared" si="11"/>
        <v>124</v>
      </c>
      <c r="G44" s="37">
        <f t="shared" si="11"/>
        <v>178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梅田!C75</f>
        <v>0</v>
      </c>
      <c r="D49" s="33">
        <f>梅田!E75</f>
        <v>0</v>
      </c>
      <c r="E49" s="33">
        <f>梅田!G75</f>
        <v>0</v>
      </c>
      <c r="F49" s="33">
        <f>梅田!I75</f>
        <v>0</v>
      </c>
      <c r="G49" s="34">
        <f>梅田!K75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246</v>
      </c>
      <c r="D52" s="36">
        <f t="shared" si="16"/>
        <v>380</v>
      </c>
      <c r="E52" s="36">
        <f t="shared" si="16"/>
        <v>176</v>
      </c>
      <c r="F52" s="36">
        <f t="shared" si="16"/>
        <v>124</v>
      </c>
      <c r="G52" s="37">
        <f t="shared" si="16"/>
        <v>178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246</v>
      </c>
      <c r="D57" s="36">
        <f t="shared" si="17"/>
        <v>380</v>
      </c>
      <c r="E57" s="36">
        <f t="shared" si="17"/>
        <v>176</v>
      </c>
      <c r="F57" s="36">
        <f t="shared" si="17"/>
        <v>124</v>
      </c>
      <c r="G57" s="37">
        <f t="shared" si="17"/>
        <v>178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梅田!C76</f>
        <v>0</v>
      </c>
      <c r="D62" s="33">
        <f>梅田!E76</f>
        <v>0</v>
      </c>
      <c r="E62" s="33">
        <f>梅田!G76</f>
        <v>0</v>
      </c>
      <c r="F62" s="33">
        <f>梅田!I76</f>
        <v>0</v>
      </c>
      <c r="G62" s="34">
        <f>梅田!K76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246</v>
      </c>
      <c r="D65" s="36">
        <f t="shared" si="21"/>
        <v>380</v>
      </c>
      <c r="E65" s="36">
        <f t="shared" si="21"/>
        <v>176</v>
      </c>
      <c r="F65" s="36">
        <f t="shared" si="21"/>
        <v>124</v>
      </c>
      <c r="G65" s="37">
        <f t="shared" si="21"/>
        <v>178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246</v>
      </c>
      <c r="D70" s="36">
        <f t="shared" si="22"/>
        <v>380</v>
      </c>
      <c r="E70" s="36">
        <f t="shared" si="22"/>
        <v>176</v>
      </c>
      <c r="F70" s="36">
        <f t="shared" si="22"/>
        <v>124</v>
      </c>
      <c r="G70" s="37">
        <f t="shared" si="22"/>
        <v>178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梅田!C77</f>
        <v>0</v>
      </c>
      <c r="D75" s="33">
        <f>梅田!E77</f>
        <v>0</v>
      </c>
      <c r="E75" s="33">
        <f>梅田!G77</f>
        <v>0</v>
      </c>
      <c r="F75" s="33">
        <f>梅田!I77</f>
        <v>0</v>
      </c>
      <c r="G75" s="34">
        <f>梅田!K77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246</v>
      </c>
      <c r="D78" s="36">
        <f t="shared" si="26"/>
        <v>380</v>
      </c>
      <c r="E78" s="36">
        <f t="shared" si="26"/>
        <v>176</v>
      </c>
      <c r="F78" s="36">
        <f t="shared" si="26"/>
        <v>124</v>
      </c>
      <c r="G78" s="37">
        <f t="shared" si="26"/>
        <v>178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246</v>
      </c>
      <c r="D83" s="36">
        <f t="shared" si="27"/>
        <v>380</v>
      </c>
      <c r="E83" s="36">
        <f t="shared" si="27"/>
        <v>176</v>
      </c>
      <c r="F83" s="36">
        <f t="shared" si="27"/>
        <v>124</v>
      </c>
      <c r="G83" s="37">
        <f t="shared" si="27"/>
        <v>178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梅田!C78</f>
        <v>0</v>
      </c>
      <c r="D88" s="33">
        <f>梅田!E78</f>
        <v>0</v>
      </c>
      <c r="E88" s="33">
        <f>梅田!G78</f>
        <v>0</v>
      </c>
      <c r="F88" s="33">
        <f>梅田!I78</f>
        <v>0</v>
      </c>
      <c r="G88" s="34">
        <f>梅田!K78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246</v>
      </c>
      <c r="D91" s="36">
        <f t="shared" ref="D91:G91" si="31">SUM(D78,D90)</f>
        <v>380</v>
      </c>
      <c r="E91" s="36">
        <f t="shared" si="31"/>
        <v>176</v>
      </c>
      <c r="F91" s="36">
        <f t="shared" si="31"/>
        <v>124</v>
      </c>
      <c r="G91" s="37">
        <f t="shared" si="31"/>
        <v>178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246</v>
      </c>
      <c r="D96" s="36">
        <f t="shared" ref="D96:G96" si="32">SUM(D83,D95)</f>
        <v>380</v>
      </c>
      <c r="E96" s="36">
        <f t="shared" si="32"/>
        <v>176</v>
      </c>
      <c r="F96" s="36">
        <f t="shared" si="32"/>
        <v>124</v>
      </c>
      <c r="G96" s="37">
        <f t="shared" si="32"/>
        <v>178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梅田!C79</f>
        <v>0</v>
      </c>
      <c r="D101" s="33">
        <f>梅田!E79</f>
        <v>0</v>
      </c>
      <c r="E101" s="33">
        <f>梅田!G79</f>
        <v>0</v>
      </c>
      <c r="F101" s="33">
        <f>梅田!I79</f>
        <v>0</v>
      </c>
      <c r="G101" s="34">
        <f>梅田!K79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246</v>
      </c>
      <c r="D104" s="36">
        <f t="shared" ref="D104:G104" si="36">SUM(D91,D103)</f>
        <v>380</v>
      </c>
      <c r="E104" s="36">
        <f t="shared" si="36"/>
        <v>176</v>
      </c>
      <c r="F104" s="36">
        <f t="shared" si="36"/>
        <v>124</v>
      </c>
      <c r="G104" s="37">
        <f t="shared" si="36"/>
        <v>178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246</v>
      </c>
      <c r="D109" s="36">
        <f t="shared" si="37"/>
        <v>380</v>
      </c>
      <c r="E109" s="36">
        <f t="shared" si="37"/>
        <v>176</v>
      </c>
      <c r="F109" s="36">
        <f t="shared" si="37"/>
        <v>124</v>
      </c>
      <c r="G109" s="37">
        <f t="shared" si="37"/>
        <v>178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梅田!C80</f>
        <v>0</v>
      </c>
      <c r="D114" s="33">
        <f>梅田!E80</f>
        <v>0</v>
      </c>
      <c r="E114" s="33">
        <f>梅田!G80</f>
        <v>0</v>
      </c>
      <c r="F114" s="33">
        <f>梅田!I80</f>
        <v>0</v>
      </c>
      <c r="G114" s="34">
        <f>梅田!K80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246</v>
      </c>
      <c r="D117" s="36">
        <f t="shared" ref="D117:G117" si="41">SUM(D104,D116)</f>
        <v>380</v>
      </c>
      <c r="E117" s="36">
        <f t="shared" si="41"/>
        <v>176</v>
      </c>
      <c r="F117" s="36">
        <f t="shared" si="41"/>
        <v>124</v>
      </c>
      <c r="G117" s="37">
        <f t="shared" si="41"/>
        <v>178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246</v>
      </c>
      <c r="D122" s="36">
        <f t="shared" si="42"/>
        <v>380</v>
      </c>
      <c r="E122" s="36">
        <f t="shared" si="42"/>
        <v>176</v>
      </c>
      <c r="F122" s="36">
        <f t="shared" si="42"/>
        <v>124</v>
      </c>
      <c r="G122" s="37">
        <f t="shared" si="42"/>
        <v>178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梅田!C81</f>
        <v>0</v>
      </c>
      <c r="D127" s="33">
        <f>梅田!E81</f>
        <v>0</v>
      </c>
      <c r="E127" s="33">
        <f>梅田!G81</f>
        <v>0</v>
      </c>
      <c r="F127" s="33">
        <f>梅田!I81</f>
        <v>0</v>
      </c>
      <c r="G127" s="34">
        <f>梅田!K81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246</v>
      </c>
      <c r="D130" s="36">
        <f t="shared" si="47"/>
        <v>380</v>
      </c>
      <c r="E130" s="36">
        <f t="shared" si="47"/>
        <v>176</v>
      </c>
      <c r="F130" s="36">
        <f t="shared" si="47"/>
        <v>124</v>
      </c>
      <c r="G130" s="36">
        <f t="shared" si="47"/>
        <v>178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246</v>
      </c>
      <c r="D135" s="36">
        <f t="shared" ref="D135:G135" si="48">SUM(D122,D134)</f>
        <v>380</v>
      </c>
      <c r="E135" s="36">
        <f t="shared" si="48"/>
        <v>176</v>
      </c>
      <c r="F135" s="36">
        <f t="shared" si="48"/>
        <v>124</v>
      </c>
      <c r="G135" s="37">
        <f t="shared" si="48"/>
        <v>178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梅田!C82</f>
        <v>0</v>
      </c>
      <c r="D140" s="33">
        <f>梅田!E82</f>
        <v>0</v>
      </c>
      <c r="E140" s="33">
        <f>梅田!G82</f>
        <v>0</v>
      </c>
      <c r="F140" s="33">
        <f>梅田!I82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246</v>
      </c>
      <c r="D143" s="36">
        <f t="shared" si="53"/>
        <v>380</v>
      </c>
      <c r="E143" s="36">
        <f t="shared" si="53"/>
        <v>176</v>
      </c>
      <c r="F143" s="36">
        <f t="shared" si="53"/>
        <v>124</v>
      </c>
      <c r="G143" s="37">
        <f>SUM(G130,G142)</f>
        <v>178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246</v>
      </c>
      <c r="D148" s="36">
        <f t="shared" si="54"/>
        <v>380</v>
      </c>
      <c r="E148" s="36">
        <f t="shared" si="54"/>
        <v>176</v>
      </c>
      <c r="F148" s="36">
        <f t="shared" si="54"/>
        <v>124</v>
      </c>
      <c r="G148" s="37">
        <f t="shared" si="54"/>
        <v>178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梅田!C83</f>
        <v>0</v>
      </c>
      <c r="D153" s="33">
        <f>梅田!E83</f>
        <v>0</v>
      </c>
      <c r="E153" s="33">
        <f>梅田!G83</f>
        <v>0</v>
      </c>
      <c r="F153" s="33">
        <f>梅田!I83</f>
        <v>0</v>
      </c>
      <c r="G153" s="34">
        <f>梅田!K83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246</v>
      </c>
      <c r="D156" s="36">
        <f t="shared" si="58"/>
        <v>380</v>
      </c>
      <c r="E156" s="36">
        <f t="shared" si="58"/>
        <v>176</v>
      </c>
      <c r="F156" s="36">
        <f t="shared" si="58"/>
        <v>124</v>
      </c>
      <c r="G156" s="37">
        <f t="shared" si="58"/>
        <v>178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246</v>
      </c>
      <c r="D161" s="36">
        <f t="shared" ref="D161:G161" si="59">SUM(D148,D160)</f>
        <v>380</v>
      </c>
      <c r="E161" s="36">
        <f t="shared" si="59"/>
        <v>176</v>
      </c>
      <c r="F161" s="36">
        <f t="shared" si="59"/>
        <v>124</v>
      </c>
      <c r="G161" s="37">
        <f t="shared" si="59"/>
        <v>178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梅田!C84</f>
        <v>0</v>
      </c>
      <c r="D166" s="33">
        <f>梅田!E84</f>
        <v>0</v>
      </c>
      <c r="E166" s="33">
        <f>梅田!G84</f>
        <v>0</v>
      </c>
      <c r="F166" s="33">
        <f>梅田!I84</f>
        <v>0</v>
      </c>
      <c r="G166" s="34">
        <f>梅田!K84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246</v>
      </c>
      <c r="D169" s="36">
        <f t="shared" si="64"/>
        <v>380</v>
      </c>
      <c r="E169" s="36">
        <f t="shared" si="64"/>
        <v>176</v>
      </c>
      <c r="F169" s="36">
        <f t="shared" si="64"/>
        <v>124</v>
      </c>
      <c r="G169" s="37">
        <f t="shared" si="64"/>
        <v>178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246</v>
      </c>
      <c r="D174" s="36">
        <f t="shared" ref="D174:G174" si="65">SUM(D161,D173)</f>
        <v>380</v>
      </c>
      <c r="E174" s="36">
        <f t="shared" si="65"/>
        <v>176</v>
      </c>
      <c r="F174" s="36">
        <f t="shared" si="65"/>
        <v>124</v>
      </c>
      <c r="G174" s="37">
        <f t="shared" si="65"/>
        <v>178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梅田!C85</f>
        <v>0</v>
      </c>
      <c r="D179" s="33">
        <f>梅田!E85</f>
        <v>0</v>
      </c>
      <c r="E179" s="33">
        <f>梅田!G85</f>
        <v>0</v>
      </c>
      <c r="F179" s="33">
        <f>梅田!I85</f>
        <v>0</v>
      </c>
      <c r="G179" s="34">
        <f>梅田!K85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246</v>
      </c>
      <c r="D182" s="36">
        <f t="shared" si="70"/>
        <v>380</v>
      </c>
      <c r="E182" s="36">
        <f t="shared" si="70"/>
        <v>176</v>
      </c>
      <c r="F182" s="36">
        <f t="shared" si="70"/>
        <v>124</v>
      </c>
      <c r="G182" s="37">
        <f t="shared" si="70"/>
        <v>178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246</v>
      </c>
      <c r="D187" s="36">
        <f t="shared" ref="D187:G187" si="71">SUM(D174,D186)</f>
        <v>380</v>
      </c>
      <c r="E187" s="36">
        <f t="shared" si="71"/>
        <v>176</v>
      </c>
      <c r="F187" s="36">
        <f t="shared" si="71"/>
        <v>124</v>
      </c>
      <c r="G187" s="37">
        <f t="shared" si="71"/>
        <v>178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梅田!C86</f>
        <v>0</v>
      </c>
      <c r="D192" s="33">
        <f>梅田!E86</f>
        <v>0</v>
      </c>
      <c r="E192" s="33">
        <f>梅田!G86</f>
        <v>0</v>
      </c>
      <c r="F192" s="33">
        <f>梅田!I86</f>
        <v>0</v>
      </c>
      <c r="G192" s="34">
        <f>梅田!K86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246</v>
      </c>
      <c r="D195" s="36">
        <f t="shared" si="76"/>
        <v>380</v>
      </c>
      <c r="E195" s="36">
        <f t="shared" si="76"/>
        <v>176</v>
      </c>
      <c r="F195" s="36">
        <f t="shared" si="76"/>
        <v>124</v>
      </c>
      <c r="G195" s="37">
        <f t="shared" si="76"/>
        <v>178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246</v>
      </c>
      <c r="D200" s="36">
        <f t="shared" ref="D200:G200" si="77">SUM(D187,D199)</f>
        <v>380</v>
      </c>
      <c r="E200" s="36">
        <f t="shared" si="77"/>
        <v>176</v>
      </c>
      <c r="F200" s="36">
        <f t="shared" si="77"/>
        <v>124</v>
      </c>
      <c r="G200" s="37">
        <f t="shared" si="77"/>
        <v>178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梅田!C87</f>
        <v>0</v>
      </c>
      <c r="D205" s="33">
        <f>梅田!E87</f>
        <v>0</v>
      </c>
      <c r="E205" s="33">
        <f>梅田!G87</f>
        <v>0</v>
      </c>
      <c r="F205" s="33">
        <f>梅田!I87</f>
        <v>0</v>
      </c>
      <c r="G205" s="34">
        <f>梅田!K87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246</v>
      </c>
      <c r="D208" s="36">
        <f t="shared" si="82"/>
        <v>380</v>
      </c>
      <c r="E208" s="36">
        <f t="shared" si="82"/>
        <v>176</v>
      </c>
      <c r="F208" s="36">
        <f t="shared" si="82"/>
        <v>124</v>
      </c>
      <c r="G208" s="37">
        <f t="shared" si="82"/>
        <v>178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246</v>
      </c>
      <c r="D213" s="36">
        <f t="shared" si="83"/>
        <v>380</v>
      </c>
      <c r="E213" s="36">
        <f t="shared" si="83"/>
        <v>176</v>
      </c>
      <c r="F213" s="36">
        <f t="shared" si="83"/>
        <v>124</v>
      </c>
      <c r="G213" s="37">
        <f t="shared" si="83"/>
        <v>178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梅田!C88</f>
        <v>0</v>
      </c>
      <c r="D218" s="33">
        <f>梅田!E88</f>
        <v>0</v>
      </c>
      <c r="E218" s="33">
        <f>梅田!G88</f>
        <v>0</v>
      </c>
      <c r="F218" s="33">
        <f>梅田!I88</f>
        <v>0</v>
      </c>
      <c r="G218" s="34">
        <f>梅田!K88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246</v>
      </c>
      <c r="D221" s="36">
        <f t="shared" si="88"/>
        <v>380</v>
      </c>
      <c r="E221" s="36">
        <f t="shared" si="88"/>
        <v>176</v>
      </c>
      <c r="F221" s="36">
        <f t="shared" si="88"/>
        <v>124</v>
      </c>
      <c r="G221" s="37">
        <f t="shared" si="88"/>
        <v>178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246</v>
      </c>
      <c r="D226" s="36">
        <f t="shared" si="89"/>
        <v>380</v>
      </c>
      <c r="E226" s="36">
        <f t="shared" si="89"/>
        <v>176</v>
      </c>
      <c r="F226" s="36">
        <f t="shared" si="89"/>
        <v>124</v>
      </c>
      <c r="G226" s="37">
        <f t="shared" si="89"/>
        <v>178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梅田!C89</f>
        <v>0</v>
      </c>
      <c r="D231" s="33">
        <f>梅田!E89</f>
        <v>0</v>
      </c>
      <c r="E231" s="33">
        <f>梅田!G89</f>
        <v>0</v>
      </c>
      <c r="F231" s="33">
        <f>梅田!I89</f>
        <v>0</v>
      </c>
      <c r="G231" s="34">
        <f>梅田!K89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246</v>
      </c>
      <c r="D234" s="36">
        <f t="shared" si="94"/>
        <v>380</v>
      </c>
      <c r="E234" s="36">
        <f t="shared" si="94"/>
        <v>176</v>
      </c>
      <c r="F234" s="36">
        <f t="shared" si="94"/>
        <v>124</v>
      </c>
      <c r="G234" s="37">
        <f t="shared" si="94"/>
        <v>178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246</v>
      </c>
      <c r="D239" s="36">
        <f t="shared" si="95"/>
        <v>380</v>
      </c>
      <c r="E239" s="36">
        <f t="shared" si="95"/>
        <v>176</v>
      </c>
      <c r="F239" s="36">
        <f t="shared" si="95"/>
        <v>124</v>
      </c>
      <c r="G239" s="37">
        <f t="shared" si="95"/>
        <v>178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梅田!C90</f>
        <v>0</v>
      </c>
      <c r="D244" s="33">
        <f>梅田!E90</f>
        <v>0</v>
      </c>
      <c r="E244" s="33">
        <f>梅田!G90</f>
        <v>0</v>
      </c>
      <c r="F244" s="33">
        <f>梅田!I90</f>
        <v>0</v>
      </c>
      <c r="G244" s="34">
        <f>梅田!K90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246</v>
      </c>
      <c r="D247" s="36">
        <f t="shared" si="100"/>
        <v>380</v>
      </c>
      <c r="E247" s="36">
        <f t="shared" si="100"/>
        <v>176</v>
      </c>
      <c r="F247" s="36">
        <f t="shared" si="100"/>
        <v>124</v>
      </c>
      <c r="G247" s="37">
        <f t="shared" si="100"/>
        <v>178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246</v>
      </c>
      <c r="D252" s="36">
        <f t="shared" si="101"/>
        <v>380</v>
      </c>
      <c r="E252" s="36">
        <f t="shared" si="101"/>
        <v>176</v>
      </c>
      <c r="F252" s="36">
        <f t="shared" si="101"/>
        <v>124</v>
      </c>
      <c r="G252" s="37">
        <f t="shared" si="101"/>
        <v>178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梅田!C91</f>
        <v>0</v>
      </c>
      <c r="D257" s="33">
        <f>梅田!E91</f>
        <v>0</v>
      </c>
      <c r="E257" s="33">
        <f>梅田!G91</f>
        <v>0</v>
      </c>
      <c r="F257" s="33">
        <f>梅田!I91</f>
        <v>0</v>
      </c>
      <c r="G257" s="34">
        <f>梅田!K91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246</v>
      </c>
      <c r="D260" s="36">
        <f t="shared" si="106"/>
        <v>380</v>
      </c>
      <c r="E260" s="36">
        <f t="shared" si="106"/>
        <v>176</v>
      </c>
      <c r="F260" s="36">
        <f t="shared" si="106"/>
        <v>124</v>
      </c>
      <c r="G260" s="37">
        <f t="shared" si="106"/>
        <v>178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246</v>
      </c>
      <c r="D265" s="36">
        <f t="shared" si="107"/>
        <v>380</v>
      </c>
      <c r="E265" s="36">
        <f t="shared" si="107"/>
        <v>176</v>
      </c>
      <c r="F265" s="36">
        <f t="shared" si="107"/>
        <v>124</v>
      </c>
      <c r="G265" s="37">
        <f t="shared" si="107"/>
        <v>178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梅田!C92</f>
        <v>0</v>
      </c>
      <c r="D270" s="33">
        <f>梅田!E92</f>
        <v>0</v>
      </c>
      <c r="E270" s="33">
        <f>梅田!G92</f>
        <v>0</v>
      </c>
      <c r="F270" s="33">
        <f>梅田!I92</f>
        <v>0</v>
      </c>
      <c r="G270" s="34">
        <f>梅田!K92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246</v>
      </c>
      <c r="D273" s="36">
        <f t="shared" si="112"/>
        <v>380</v>
      </c>
      <c r="E273" s="36">
        <f t="shared" si="112"/>
        <v>176</v>
      </c>
      <c r="F273" s="36">
        <f t="shared" si="112"/>
        <v>124</v>
      </c>
      <c r="G273" s="37">
        <f t="shared" si="112"/>
        <v>178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246</v>
      </c>
      <c r="D278" s="36">
        <f t="shared" si="113"/>
        <v>380</v>
      </c>
      <c r="E278" s="36">
        <f t="shared" si="113"/>
        <v>176</v>
      </c>
      <c r="F278" s="36">
        <f t="shared" si="113"/>
        <v>124</v>
      </c>
      <c r="G278" s="37">
        <f t="shared" si="113"/>
        <v>178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梅田!C93</f>
        <v>0</v>
      </c>
      <c r="D283" s="33">
        <f>梅田!E93</f>
        <v>0</v>
      </c>
      <c r="E283" s="33">
        <f>梅田!G93</f>
        <v>0</v>
      </c>
      <c r="F283" s="33">
        <f>梅田!I93</f>
        <v>0</v>
      </c>
      <c r="G283" s="34">
        <f>梅田!K93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246</v>
      </c>
      <c r="D286" s="36">
        <f t="shared" si="118"/>
        <v>380</v>
      </c>
      <c r="E286" s="36">
        <f t="shared" si="118"/>
        <v>176</v>
      </c>
      <c r="F286" s="36">
        <f t="shared" si="118"/>
        <v>124</v>
      </c>
      <c r="G286" s="37">
        <f t="shared" si="118"/>
        <v>178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246</v>
      </c>
      <c r="D291" s="36">
        <f t="shared" si="119"/>
        <v>380</v>
      </c>
      <c r="E291" s="36">
        <f t="shared" si="119"/>
        <v>176</v>
      </c>
      <c r="F291" s="36">
        <f t="shared" si="119"/>
        <v>124</v>
      </c>
      <c r="G291" s="37">
        <f t="shared" si="119"/>
        <v>178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梅田!C94</f>
        <v>0</v>
      </c>
      <c r="D296" s="33">
        <f>梅田!E94</f>
        <v>0</v>
      </c>
      <c r="E296" s="33">
        <f>梅田!G94</f>
        <v>0</v>
      </c>
      <c r="F296" s="33">
        <f>梅田!I94</f>
        <v>0</v>
      </c>
      <c r="G296" s="34">
        <f>梅田!K94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246</v>
      </c>
      <c r="D299" s="36">
        <f t="shared" si="124"/>
        <v>380</v>
      </c>
      <c r="E299" s="36">
        <f t="shared" si="124"/>
        <v>176</v>
      </c>
      <c r="F299" s="36">
        <f t="shared" si="124"/>
        <v>124</v>
      </c>
      <c r="G299" s="37">
        <f t="shared" si="124"/>
        <v>178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246</v>
      </c>
      <c r="D304" s="36">
        <f t="shared" si="125"/>
        <v>380</v>
      </c>
      <c r="E304" s="36">
        <f t="shared" si="125"/>
        <v>176</v>
      </c>
      <c r="F304" s="36">
        <f t="shared" si="125"/>
        <v>124</v>
      </c>
      <c r="G304" s="37">
        <f t="shared" si="125"/>
        <v>178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梅田!C95</f>
        <v>0</v>
      </c>
      <c r="D309" s="33">
        <f>梅田!E95</f>
        <v>0</v>
      </c>
      <c r="E309" s="33">
        <f>梅田!G95</f>
        <v>0</v>
      </c>
      <c r="F309" s="33">
        <f>梅田!I95</f>
        <v>0</v>
      </c>
      <c r="G309" s="34">
        <f>梅田!K95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246</v>
      </c>
      <c r="D312" s="36">
        <f t="shared" si="130"/>
        <v>380</v>
      </c>
      <c r="E312" s="36">
        <f t="shared" si="130"/>
        <v>176</v>
      </c>
      <c r="F312" s="36">
        <f t="shared" si="130"/>
        <v>124</v>
      </c>
      <c r="G312" s="37">
        <f t="shared" si="130"/>
        <v>178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246</v>
      </c>
      <c r="D317" s="36">
        <f t="shared" si="131"/>
        <v>380</v>
      </c>
      <c r="E317" s="36">
        <f t="shared" si="131"/>
        <v>176</v>
      </c>
      <c r="F317" s="36">
        <f t="shared" si="131"/>
        <v>124</v>
      </c>
      <c r="G317" s="37">
        <f t="shared" si="131"/>
        <v>178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梅田!C96</f>
        <v>0</v>
      </c>
      <c r="D322" s="33">
        <f>梅田!E96</f>
        <v>0</v>
      </c>
      <c r="E322" s="33">
        <f>梅田!G96</f>
        <v>0</v>
      </c>
      <c r="F322" s="33">
        <f>梅田!I96</f>
        <v>0</v>
      </c>
      <c r="G322" s="34">
        <f>梅田!K96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246</v>
      </c>
      <c r="D325" s="36">
        <f t="shared" si="136"/>
        <v>380</v>
      </c>
      <c r="E325" s="36">
        <f t="shared" si="136"/>
        <v>176</v>
      </c>
      <c r="F325" s="36">
        <f t="shared" si="136"/>
        <v>124</v>
      </c>
      <c r="G325" s="37">
        <f t="shared" si="136"/>
        <v>178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246</v>
      </c>
      <c r="D330" s="36">
        <f t="shared" si="137"/>
        <v>380</v>
      </c>
      <c r="E330" s="36">
        <f t="shared" si="137"/>
        <v>176</v>
      </c>
      <c r="F330" s="36">
        <f t="shared" si="137"/>
        <v>124</v>
      </c>
      <c r="G330" s="37">
        <f t="shared" si="137"/>
        <v>178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梅田!C97</f>
        <v>0</v>
      </c>
      <c r="D335" s="33">
        <f>梅田!E97</f>
        <v>0</v>
      </c>
      <c r="E335" s="33">
        <f>梅田!G97</f>
        <v>0</v>
      </c>
      <c r="F335" s="33">
        <f>梅田!I97</f>
        <v>0</v>
      </c>
      <c r="G335" s="34">
        <f>梅田!K97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246</v>
      </c>
      <c r="D338" s="36">
        <f t="shared" si="142"/>
        <v>380</v>
      </c>
      <c r="E338" s="36">
        <f t="shared" si="142"/>
        <v>176</v>
      </c>
      <c r="F338" s="36">
        <f t="shared" si="142"/>
        <v>124</v>
      </c>
      <c r="G338" s="37">
        <f t="shared" si="142"/>
        <v>178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246</v>
      </c>
      <c r="D343" s="36">
        <f t="shared" si="143"/>
        <v>380</v>
      </c>
      <c r="E343" s="36">
        <f t="shared" si="143"/>
        <v>176</v>
      </c>
      <c r="F343" s="36">
        <f t="shared" si="143"/>
        <v>124</v>
      </c>
      <c r="G343" s="37">
        <f t="shared" si="143"/>
        <v>178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梅田!C98</f>
        <v>0</v>
      </c>
      <c r="D348" s="33">
        <f>梅田!E98</f>
        <v>0</v>
      </c>
      <c r="E348" s="33">
        <f>梅田!G98</f>
        <v>0</v>
      </c>
      <c r="F348" s="33">
        <f>梅田!I98</f>
        <v>0</v>
      </c>
      <c r="G348" s="34">
        <f>梅田!K98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246</v>
      </c>
      <c r="D351" s="36">
        <f t="shared" si="148"/>
        <v>380</v>
      </c>
      <c r="E351" s="36">
        <f t="shared" si="148"/>
        <v>176</v>
      </c>
      <c r="F351" s="36">
        <f t="shared" si="148"/>
        <v>124</v>
      </c>
      <c r="G351" s="37">
        <f t="shared" si="148"/>
        <v>178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246</v>
      </c>
      <c r="D356" s="36">
        <f t="shared" si="149"/>
        <v>380</v>
      </c>
      <c r="E356" s="36">
        <f t="shared" si="149"/>
        <v>176</v>
      </c>
      <c r="F356" s="36">
        <f t="shared" si="149"/>
        <v>124</v>
      </c>
      <c r="G356" s="37">
        <f t="shared" si="149"/>
        <v>178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梅田!C99</f>
        <v>0</v>
      </c>
      <c r="D361" s="33">
        <f>梅田!E99</f>
        <v>0</v>
      </c>
      <c r="E361" s="33">
        <f>梅田!G99</f>
        <v>0</v>
      </c>
      <c r="F361" s="33">
        <f>梅田!I99</f>
        <v>0</v>
      </c>
      <c r="G361" s="34">
        <f>梅田!K99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246</v>
      </c>
      <c r="D364" s="36">
        <f t="shared" si="154"/>
        <v>380</v>
      </c>
      <c r="E364" s="36">
        <f t="shared" si="154"/>
        <v>176</v>
      </c>
      <c r="F364" s="36">
        <f t="shared" si="154"/>
        <v>124</v>
      </c>
      <c r="G364" s="37">
        <f t="shared" si="154"/>
        <v>178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246</v>
      </c>
      <c r="D369" s="36">
        <f t="shared" si="155"/>
        <v>380</v>
      </c>
      <c r="E369" s="36">
        <f t="shared" si="155"/>
        <v>176</v>
      </c>
      <c r="F369" s="36">
        <f t="shared" si="155"/>
        <v>124</v>
      </c>
      <c r="G369" s="37">
        <f t="shared" si="155"/>
        <v>178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梅田!C100</f>
        <v>0</v>
      </c>
      <c r="D374" s="33">
        <f>梅田!E100</f>
        <v>0</v>
      </c>
      <c r="E374" s="33">
        <f>梅田!G100</f>
        <v>0</v>
      </c>
      <c r="F374" s="33">
        <f>梅田!I100</f>
        <v>0</v>
      </c>
      <c r="G374" s="34">
        <f>梅田!K100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246</v>
      </c>
      <c r="D377" s="36">
        <f t="shared" si="160"/>
        <v>380</v>
      </c>
      <c r="E377" s="36">
        <f t="shared" si="160"/>
        <v>176</v>
      </c>
      <c r="F377" s="36">
        <f t="shared" si="160"/>
        <v>124</v>
      </c>
      <c r="G377" s="37">
        <f t="shared" si="160"/>
        <v>178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246</v>
      </c>
      <c r="D382" s="36">
        <f t="shared" si="161"/>
        <v>380</v>
      </c>
      <c r="E382" s="36">
        <f t="shared" si="161"/>
        <v>176</v>
      </c>
      <c r="F382" s="36">
        <f t="shared" si="161"/>
        <v>124</v>
      </c>
      <c r="G382" s="37">
        <f t="shared" si="161"/>
        <v>178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梅田!C101</f>
        <v>0</v>
      </c>
      <c r="D387" s="33">
        <f>梅田!E101</f>
        <v>0</v>
      </c>
      <c r="E387" s="33">
        <f>梅田!G101</f>
        <v>0</v>
      </c>
      <c r="F387" s="33">
        <f>梅田!I101</f>
        <v>0</v>
      </c>
      <c r="G387" s="34">
        <f>梅田!K101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246</v>
      </c>
      <c r="D390" s="36">
        <f t="shared" si="166"/>
        <v>380</v>
      </c>
      <c r="E390" s="36">
        <f t="shared" si="166"/>
        <v>176</v>
      </c>
      <c r="F390" s="36">
        <f t="shared" si="166"/>
        <v>124</v>
      </c>
      <c r="G390" s="37">
        <f t="shared" si="166"/>
        <v>178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246</v>
      </c>
      <c r="D395" s="36">
        <f t="shared" si="167"/>
        <v>380</v>
      </c>
      <c r="E395" s="36">
        <f t="shared" si="167"/>
        <v>176</v>
      </c>
      <c r="F395" s="36">
        <f t="shared" si="167"/>
        <v>124</v>
      </c>
      <c r="G395" s="37">
        <f t="shared" si="167"/>
        <v>178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梅田!C102</f>
        <v>0</v>
      </c>
      <c r="D400" s="33">
        <f>梅田!E102</f>
        <v>0</v>
      </c>
      <c r="E400" s="33">
        <f>梅田!G102</f>
        <v>0</v>
      </c>
      <c r="F400" s="33">
        <f>梅田!I102</f>
        <v>0</v>
      </c>
      <c r="G400" s="34">
        <f>梅田!K102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246</v>
      </c>
      <c r="D403" s="36">
        <f t="shared" si="172"/>
        <v>380</v>
      </c>
      <c r="E403" s="36">
        <f t="shared" si="172"/>
        <v>176</v>
      </c>
      <c r="F403" s="36">
        <f t="shared" si="172"/>
        <v>124</v>
      </c>
      <c r="G403" s="37">
        <f t="shared" si="172"/>
        <v>178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246</v>
      </c>
      <c r="D5" s="30">
        <f>SUM(D4,'7月'!D395)</f>
        <v>380</v>
      </c>
      <c r="E5" s="30">
        <f>SUM(E4,'7月'!E395)</f>
        <v>176</v>
      </c>
      <c r="F5" s="30">
        <f>SUM(F4,'7月'!F395)</f>
        <v>124</v>
      </c>
      <c r="G5" s="31">
        <f>SUM(G4,'7月'!G395)</f>
        <v>178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梅田!C107</f>
        <v>0</v>
      </c>
      <c r="D10" s="33">
        <f>梅田!E107</f>
        <v>0</v>
      </c>
      <c r="E10" s="33">
        <f>梅田!G107</f>
        <v>0</v>
      </c>
      <c r="F10" s="33">
        <f>梅田!I107</f>
        <v>0</v>
      </c>
      <c r="G10" s="34">
        <f>梅田!K107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246</v>
      </c>
      <c r="D13" s="36">
        <f t="shared" si="0"/>
        <v>380</v>
      </c>
      <c r="E13" s="36">
        <f t="shared" si="0"/>
        <v>176</v>
      </c>
      <c r="F13" s="36">
        <f>SUM(F5,F7,F9,F11)</f>
        <v>124</v>
      </c>
      <c r="G13" s="37">
        <f>SUM(G5,G7,G9,G11)</f>
        <v>178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246</v>
      </c>
      <c r="D18" s="36">
        <f t="shared" ref="D18:G18" si="1">SUM(D5,D17)</f>
        <v>380</v>
      </c>
      <c r="E18" s="36">
        <f t="shared" si="1"/>
        <v>176</v>
      </c>
      <c r="F18" s="36">
        <f t="shared" si="1"/>
        <v>124</v>
      </c>
      <c r="G18" s="37">
        <f t="shared" si="1"/>
        <v>178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梅田!C108</f>
        <v>0</v>
      </c>
      <c r="D23" s="33">
        <f>梅田!E108</f>
        <v>0</v>
      </c>
      <c r="E23" s="33">
        <f>梅田!G108</f>
        <v>0</v>
      </c>
      <c r="F23" s="33">
        <f>梅田!I108</f>
        <v>0</v>
      </c>
      <c r="G23" s="34">
        <f>梅田!K108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246</v>
      </c>
      <c r="D26" s="36">
        <f t="shared" si="5"/>
        <v>380</v>
      </c>
      <c r="E26" s="36">
        <f t="shared" si="5"/>
        <v>176</v>
      </c>
      <c r="F26" s="36">
        <f t="shared" si="5"/>
        <v>124</v>
      </c>
      <c r="G26" s="37">
        <f t="shared" si="5"/>
        <v>178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246</v>
      </c>
      <c r="D31" s="36">
        <f t="shared" si="6"/>
        <v>380</v>
      </c>
      <c r="E31" s="36">
        <f t="shared" si="6"/>
        <v>176</v>
      </c>
      <c r="F31" s="36">
        <f t="shared" si="6"/>
        <v>124</v>
      </c>
      <c r="G31" s="37">
        <f t="shared" si="6"/>
        <v>178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梅田!C109</f>
        <v>0</v>
      </c>
      <c r="D36" s="33">
        <f>梅田!E109</f>
        <v>0</v>
      </c>
      <c r="E36" s="33">
        <f>梅田!G109</f>
        <v>0</v>
      </c>
      <c r="F36" s="33">
        <f>梅田!I109</f>
        <v>0</v>
      </c>
      <c r="G36" s="34">
        <f>梅田!K109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246</v>
      </c>
      <c r="D39" s="36">
        <f t="shared" si="10"/>
        <v>380</v>
      </c>
      <c r="E39" s="36">
        <f t="shared" si="10"/>
        <v>176</v>
      </c>
      <c r="F39" s="36">
        <f t="shared" si="10"/>
        <v>124</v>
      </c>
      <c r="G39" s="37">
        <f t="shared" si="10"/>
        <v>178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246</v>
      </c>
      <c r="D44" s="36">
        <f t="shared" si="11"/>
        <v>380</v>
      </c>
      <c r="E44" s="36">
        <f t="shared" si="11"/>
        <v>176</v>
      </c>
      <c r="F44" s="36">
        <f t="shared" si="11"/>
        <v>124</v>
      </c>
      <c r="G44" s="37">
        <f t="shared" si="11"/>
        <v>178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梅田!C110</f>
        <v>0</v>
      </c>
      <c r="D49" s="33">
        <f>梅田!E110</f>
        <v>0</v>
      </c>
      <c r="E49" s="33">
        <f>梅田!G110</f>
        <v>0</v>
      </c>
      <c r="F49" s="33">
        <f>梅田!I110</f>
        <v>0</v>
      </c>
      <c r="G49" s="34">
        <f>梅田!K110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246</v>
      </c>
      <c r="D52" s="36">
        <f t="shared" si="16"/>
        <v>380</v>
      </c>
      <c r="E52" s="36">
        <f t="shared" si="16"/>
        <v>176</v>
      </c>
      <c r="F52" s="36">
        <f t="shared" si="16"/>
        <v>124</v>
      </c>
      <c r="G52" s="37">
        <f t="shared" si="16"/>
        <v>178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246</v>
      </c>
      <c r="D57" s="36">
        <f t="shared" si="17"/>
        <v>380</v>
      </c>
      <c r="E57" s="36">
        <f t="shared" si="17"/>
        <v>176</v>
      </c>
      <c r="F57" s="36">
        <f t="shared" si="17"/>
        <v>124</v>
      </c>
      <c r="G57" s="37">
        <f t="shared" si="17"/>
        <v>178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梅田!C111</f>
        <v>0</v>
      </c>
      <c r="D62" s="33">
        <f>梅田!E111</f>
        <v>0</v>
      </c>
      <c r="E62" s="33">
        <f>梅田!G111</f>
        <v>0</v>
      </c>
      <c r="F62" s="33">
        <f>梅田!I111</f>
        <v>0</v>
      </c>
      <c r="G62" s="34">
        <f>梅田!K111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246</v>
      </c>
      <c r="D65" s="36">
        <f t="shared" si="21"/>
        <v>380</v>
      </c>
      <c r="E65" s="36">
        <f t="shared" si="21"/>
        <v>176</v>
      </c>
      <c r="F65" s="36">
        <f t="shared" si="21"/>
        <v>124</v>
      </c>
      <c r="G65" s="37">
        <f t="shared" si="21"/>
        <v>178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246</v>
      </c>
      <c r="D70" s="36">
        <f t="shared" si="22"/>
        <v>380</v>
      </c>
      <c r="E70" s="36">
        <f t="shared" si="22"/>
        <v>176</v>
      </c>
      <c r="F70" s="36">
        <f t="shared" si="22"/>
        <v>124</v>
      </c>
      <c r="G70" s="37">
        <f t="shared" si="22"/>
        <v>178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梅田!C112</f>
        <v>0</v>
      </c>
      <c r="D75" s="33">
        <f>梅田!E112</f>
        <v>0</v>
      </c>
      <c r="E75" s="33">
        <f>梅田!G112</f>
        <v>0</v>
      </c>
      <c r="F75" s="33">
        <f>梅田!I112</f>
        <v>0</v>
      </c>
      <c r="G75" s="34">
        <f>梅田!K112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246</v>
      </c>
      <c r="D78" s="36">
        <f t="shared" si="26"/>
        <v>380</v>
      </c>
      <c r="E78" s="36">
        <f t="shared" si="26"/>
        <v>176</v>
      </c>
      <c r="F78" s="36">
        <f t="shared" si="26"/>
        <v>124</v>
      </c>
      <c r="G78" s="37">
        <f t="shared" si="26"/>
        <v>178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246</v>
      </c>
      <c r="D83" s="36">
        <f t="shared" si="27"/>
        <v>380</v>
      </c>
      <c r="E83" s="36">
        <f t="shared" si="27"/>
        <v>176</v>
      </c>
      <c r="F83" s="36">
        <f t="shared" si="27"/>
        <v>124</v>
      </c>
      <c r="G83" s="37">
        <f t="shared" si="27"/>
        <v>178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梅田!C113</f>
        <v>0</v>
      </c>
      <c r="D88" s="33">
        <f>梅田!E113</f>
        <v>0</v>
      </c>
      <c r="E88" s="33">
        <f>梅田!G113</f>
        <v>0</v>
      </c>
      <c r="F88" s="33">
        <f>梅田!I113</f>
        <v>0</v>
      </c>
      <c r="G88" s="34">
        <f>梅田!K113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246</v>
      </c>
      <c r="D91" s="36">
        <f t="shared" ref="D91:G91" si="31">SUM(D78,D90)</f>
        <v>380</v>
      </c>
      <c r="E91" s="36">
        <f t="shared" si="31"/>
        <v>176</v>
      </c>
      <c r="F91" s="36">
        <f t="shared" si="31"/>
        <v>124</v>
      </c>
      <c r="G91" s="37">
        <f t="shared" si="31"/>
        <v>178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246</v>
      </c>
      <c r="D96" s="36">
        <f t="shared" ref="D96:G96" si="32">SUM(D83,D95)</f>
        <v>380</v>
      </c>
      <c r="E96" s="36">
        <f t="shared" si="32"/>
        <v>176</v>
      </c>
      <c r="F96" s="36">
        <f t="shared" si="32"/>
        <v>124</v>
      </c>
      <c r="G96" s="37">
        <f t="shared" si="32"/>
        <v>178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梅田!C114</f>
        <v>0</v>
      </c>
      <c r="D101" s="33">
        <f>梅田!E114</f>
        <v>0</v>
      </c>
      <c r="E101" s="33">
        <f>梅田!G114</f>
        <v>0</v>
      </c>
      <c r="F101" s="33">
        <f>梅田!I114</f>
        <v>0</v>
      </c>
      <c r="G101" s="34">
        <f>梅田!K114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246</v>
      </c>
      <c r="D104" s="36">
        <f t="shared" ref="D104:G104" si="36">SUM(D91,D103)</f>
        <v>380</v>
      </c>
      <c r="E104" s="36">
        <f t="shared" si="36"/>
        <v>176</v>
      </c>
      <c r="F104" s="36">
        <f t="shared" si="36"/>
        <v>124</v>
      </c>
      <c r="G104" s="37">
        <f t="shared" si="36"/>
        <v>178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246</v>
      </c>
      <c r="D109" s="36">
        <f t="shared" si="37"/>
        <v>380</v>
      </c>
      <c r="E109" s="36">
        <f t="shared" si="37"/>
        <v>176</v>
      </c>
      <c r="F109" s="36">
        <f t="shared" si="37"/>
        <v>124</v>
      </c>
      <c r="G109" s="37">
        <f t="shared" si="37"/>
        <v>178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梅田!C115</f>
        <v>0</v>
      </c>
      <c r="D114" s="33">
        <f>梅田!E115</f>
        <v>0</v>
      </c>
      <c r="E114" s="33">
        <f>梅田!G115</f>
        <v>0</v>
      </c>
      <c r="F114" s="33">
        <f>梅田!I115</f>
        <v>0</v>
      </c>
      <c r="G114" s="34">
        <f>梅田!K115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246</v>
      </c>
      <c r="D117" s="36">
        <f t="shared" ref="D117:G117" si="41">SUM(D104,D116)</f>
        <v>380</v>
      </c>
      <c r="E117" s="36">
        <f t="shared" si="41"/>
        <v>176</v>
      </c>
      <c r="F117" s="36">
        <f t="shared" si="41"/>
        <v>124</v>
      </c>
      <c r="G117" s="37">
        <f t="shared" si="41"/>
        <v>178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246</v>
      </c>
      <c r="D122" s="36">
        <f t="shared" si="42"/>
        <v>380</v>
      </c>
      <c r="E122" s="36">
        <f t="shared" si="42"/>
        <v>176</v>
      </c>
      <c r="F122" s="36">
        <f t="shared" si="42"/>
        <v>124</v>
      </c>
      <c r="G122" s="37">
        <f t="shared" si="42"/>
        <v>178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梅田!C116</f>
        <v>0</v>
      </c>
      <c r="D127" s="33">
        <f>梅田!E116</f>
        <v>0</v>
      </c>
      <c r="E127" s="33">
        <f>梅田!G116</f>
        <v>0</v>
      </c>
      <c r="F127" s="33">
        <f>梅田!I116</f>
        <v>0</v>
      </c>
      <c r="G127" s="34">
        <f>梅田!K116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246</v>
      </c>
      <c r="D130" s="36">
        <f t="shared" si="47"/>
        <v>380</v>
      </c>
      <c r="E130" s="36">
        <f t="shared" si="47"/>
        <v>176</v>
      </c>
      <c r="F130" s="36">
        <f t="shared" si="47"/>
        <v>124</v>
      </c>
      <c r="G130" s="36">
        <f t="shared" si="47"/>
        <v>178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246</v>
      </c>
      <c r="D135" s="36">
        <f t="shared" ref="D135:G135" si="48">SUM(D122,D134)</f>
        <v>380</v>
      </c>
      <c r="E135" s="36">
        <f t="shared" si="48"/>
        <v>176</v>
      </c>
      <c r="F135" s="36">
        <f t="shared" si="48"/>
        <v>124</v>
      </c>
      <c r="G135" s="37">
        <f t="shared" si="48"/>
        <v>178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梅田!C117</f>
        <v>0</v>
      </c>
      <c r="D140" s="33">
        <f>梅田!E117</f>
        <v>0</v>
      </c>
      <c r="E140" s="33">
        <f>梅田!G117</f>
        <v>0</v>
      </c>
      <c r="F140" s="33">
        <f>梅田!I117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246</v>
      </c>
      <c r="D143" s="36">
        <f t="shared" si="53"/>
        <v>380</v>
      </c>
      <c r="E143" s="36">
        <f t="shared" si="53"/>
        <v>176</v>
      </c>
      <c r="F143" s="36">
        <f t="shared" si="53"/>
        <v>124</v>
      </c>
      <c r="G143" s="37">
        <f>SUM(G130,G142)</f>
        <v>178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246</v>
      </c>
      <c r="D148" s="36">
        <f t="shared" si="54"/>
        <v>380</v>
      </c>
      <c r="E148" s="36">
        <f t="shared" si="54"/>
        <v>176</v>
      </c>
      <c r="F148" s="36">
        <f t="shared" si="54"/>
        <v>124</v>
      </c>
      <c r="G148" s="37">
        <f t="shared" si="54"/>
        <v>178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梅田!C118</f>
        <v>0</v>
      </c>
      <c r="D153" s="33">
        <f>梅田!E118</f>
        <v>0</v>
      </c>
      <c r="E153" s="33">
        <f>梅田!G118</f>
        <v>0</v>
      </c>
      <c r="F153" s="33">
        <f>梅田!I118</f>
        <v>0</v>
      </c>
      <c r="G153" s="34">
        <f>梅田!K118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246</v>
      </c>
      <c r="D156" s="36">
        <f t="shared" si="58"/>
        <v>380</v>
      </c>
      <c r="E156" s="36">
        <f t="shared" si="58"/>
        <v>176</v>
      </c>
      <c r="F156" s="36">
        <f t="shared" si="58"/>
        <v>124</v>
      </c>
      <c r="G156" s="37">
        <f t="shared" si="58"/>
        <v>178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246</v>
      </c>
      <c r="D161" s="36">
        <f t="shared" ref="D161:G161" si="59">SUM(D148,D160)</f>
        <v>380</v>
      </c>
      <c r="E161" s="36">
        <f t="shared" si="59"/>
        <v>176</v>
      </c>
      <c r="F161" s="36">
        <f t="shared" si="59"/>
        <v>124</v>
      </c>
      <c r="G161" s="37">
        <f t="shared" si="59"/>
        <v>178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梅田!C119</f>
        <v>0</v>
      </c>
      <c r="D166" s="33">
        <f>梅田!E119</f>
        <v>0</v>
      </c>
      <c r="E166" s="33">
        <f>梅田!G119</f>
        <v>0</v>
      </c>
      <c r="F166" s="33">
        <f>梅田!I119</f>
        <v>0</v>
      </c>
      <c r="G166" s="34">
        <f>梅田!K119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246</v>
      </c>
      <c r="D169" s="36">
        <f t="shared" si="64"/>
        <v>380</v>
      </c>
      <c r="E169" s="36">
        <f t="shared" si="64"/>
        <v>176</v>
      </c>
      <c r="F169" s="36">
        <f t="shared" si="64"/>
        <v>124</v>
      </c>
      <c r="G169" s="37">
        <f t="shared" si="64"/>
        <v>178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246</v>
      </c>
      <c r="D174" s="36">
        <f t="shared" ref="D174:G174" si="65">SUM(D161,D173)</f>
        <v>380</v>
      </c>
      <c r="E174" s="36">
        <f t="shared" si="65"/>
        <v>176</v>
      </c>
      <c r="F174" s="36">
        <f t="shared" si="65"/>
        <v>124</v>
      </c>
      <c r="G174" s="37">
        <f t="shared" si="65"/>
        <v>178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梅田!C120</f>
        <v>0</v>
      </c>
      <c r="D179" s="33">
        <f>梅田!E120</f>
        <v>0</v>
      </c>
      <c r="E179" s="33">
        <f>梅田!G120</f>
        <v>0</v>
      </c>
      <c r="F179" s="33">
        <f>梅田!I120</f>
        <v>0</v>
      </c>
      <c r="G179" s="34">
        <f>梅田!K120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246</v>
      </c>
      <c r="D182" s="36">
        <f t="shared" si="70"/>
        <v>380</v>
      </c>
      <c r="E182" s="36">
        <f t="shared" si="70"/>
        <v>176</v>
      </c>
      <c r="F182" s="36">
        <f t="shared" si="70"/>
        <v>124</v>
      </c>
      <c r="G182" s="37">
        <f t="shared" si="70"/>
        <v>178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246</v>
      </c>
      <c r="D187" s="36">
        <f t="shared" ref="D187:G187" si="71">SUM(D174,D186)</f>
        <v>380</v>
      </c>
      <c r="E187" s="36">
        <f t="shared" si="71"/>
        <v>176</v>
      </c>
      <c r="F187" s="36">
        <f t="shared" si="71"/>
        <v>124</v>
      </c>
      <c r="G187" s="37">
        <f t="shared" si="71"/>
        <v>178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梅田!C121</f>
        <v>0</v>
      </c>
      <c r="D192" s="33">
        <f>梅田!E121</f>
        <v>0</v>
      </c>
      <c r="E192" s="33">
        <f>梅田!G121</f>
        <v>0</v>
      </c>
      <c r="F192" s="33">
        <f>梅田!I121</f>
        <v>0</v>
      </c>
      <c r="G192" s="34">
        <f>梅田!K121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246</v>
      </c>
      <c r="D195" s="36">
        <f t="shared" si="76"/>
        <v>380</v>
      </c>
      <c r="E195" s="36">
        <f t="shared" si="76"/>
        <v>176</v>
      </c>
      <c r="F195" s="36">
        <f t="shared" si="76"/>
        <v>124</v>
      </c>
      <c r="G195" s="37">
        <f t="shared" si="76"/>
        <v>178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246</v>
      </c>
      <c r="D200" s="36">
        <f t="shared" ref="D200:G200" si="77">SUM(D187,D199)</f>
        <v>380</v>
      </c>
      <c r="E200" s="36">
        <f t="shared" si="77"/>
        <v>176</v>
      </c>
      <c r="F200" s="36">
        <f t="shared" si="77"/>
        <v>124</v>
      </c>
      <c r="G200" s="37">
        <f t="shared" si="77"/>
        <v>178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梅田!C122</f>
        <v>0</v>
      </c>
      <c r="D205" s="33">
        <f>梅田!E122</f>
        <v>0</v>
      </c>
      <c r="E205" s="33">
        <f>梅田!G122</f>
        <v>0</v>
      </c>
      <c r="F205" s="33">
        <f>梅田!I122</f>
        <v>0</v>
      </c>
      <c r="G205" s="34">
        <f>梅田!K122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246</v>
      </c>
      <c r="D208" s="36">
        <f t="shared" si="82"/>
        <v>380</v>
      </c>
      <c r="E208" s="36">
        <f t="shared" si="82"/>
        <v>176</v>
      </c>
      <c r="F208" s="36">
        <f t="shared" si="82"/>
        <v>124</v>
      </c>
      <c r="G208" s="37">
        <f t="shared" si="82"/>
        <v>178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246</v>
      </c>
      <c r="D213" s="36">
        <f t="shared" si="83"/>
        <v>380</v>
      </c>
      <c r="E213" s="36">
        <f t="shared" si="83"/>
        <v>176</v>
      </c>
      <c r="F213" s="36">
        <f t="shared" si="83"/>
        <v>124</v>
      </c>
      <c r="G213" s="37">
        <f t="shared" si="83"/>
        <v>178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梅田!C123</f>
        <v>0</v>
      </c>
      <c r="D218" s="33">
        <f>梅田!E123</f>
        <v>0</v>
      </c>
      <c r="E218" s="33">
        <f>梅田!G123</f>
        <v>0</v>
      </c>
      <c r="F218" s="33">
        <f>梅田!I123</f>
        <v>0</v>
      </c>
      <c r="G218" s="34">
        <f>梅田!K123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246</v>
      </c>
      <c r="D221" s="36">
        <f t="shared" si="88"/>
        <v>380</v>
      </c>
      <c r="E221" s="36">
        <f t="shared" si="88"/>
        <v>176</v>
      </c>
      <c r="F221" s="36">
        <f t="shared" si="88"/>
        <v>124</v>
      </c>
      <c r="G221" s="37">
        <f t="shared" si="88"/>
        <v>178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246</v>
      </c>
      <c r="D226" s="36">
        <f t="shared" si="89"/>
        <v>380</v>
      </c>
      <c r="E226" s="36">
        <f t="shared" si="89"/>
        <v>176</v>
      </c>
      <c r="F226" s="36">
        <f t="shared" si="89"/>
        <v>124</v>
      </c>
      <c r="G226" s="37">
        <f t="shared" si="89"/>
        <v>178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梅田!C124</f>
        <v>0</v>
      </c>
      <c r="D231" s="33">
        <f>梅田!E124</f>
        <v>0</v>
      </c>
      <c r="E231" s="33">
        <f>梅田!G124</f>
        <v>0</v>
      </c>
      <c r="F231" s="33">
        <f>梅田!I124</f>
        <v>0</v>
      </c>
      <c r="G231" s="34">
        <f>梅田!K124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246</v>
      </c>
      <c r="D234" s="36">
        <f t="shared" si="94"/>
        <v>380</v>
      </c>
      <c r="E234" s="36">
        <f t="shared" si="94"/>
        <v>176</v>
      </c>
      <c r="F234" s="36">
        <f t="shared" si="94"/>
        <v>124</v>
      </c>
      <c r="G234" s="37">
        <f t="shared" si="94"/>
        <v>178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246</v>
      </c>
      <c r="D239" s="36">
        <f t="shared" si="95"/>
        <v>380</v>
      </c>
      <c r="E239" s="36">
        <f t="shared" si="95"/>
        <v>176</v>
      </c>
      <c r="F239" s="36">
        <f t="shared" si="95"/>
        <v>124</v>
      </c>
      <c r="G239" s="37">
        <f t="shared" si="95"/>
        <v>178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梅田!C125</f>
        <v>0</v>
      </c>
      <c r="D244" s="33">
        <f>梅田!E125</f>
        <v>0</v>
      </c>
      <c r="E244" s="33">
        <f>梅田!G125</f>
        <v>0</v>
      </c>
      <c r="F244" s="33">
        <f>梅田!I125</f>
        <v>0</v>
      </c>
      <c r="G244" s="34">
        <f>梅田!K125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246</v>
      </c>
      <c r="D247" s="36">
        <f t="shared" si="100"/>
        <v>380</v>
      </c>
      <c r="E247" s="36">
        <f t="shared" si="100"/>
        <v>176</v>
      </c>
      <c r="F247" s="36">
        <f t="shared" si="100"/>
        <v>124</v>
      </c>
      <c r="G247" s="37">
        <f t="shared" si="100"/>
        <v>178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246</v>
      </c>
      <c r="D252" s="36">
        <f t="shared" si="101"/>
        <v>380</v>
      </c>
      <c r="E252" s="36">
        <f t="shared" si="101"/>
        <v>176</v>
      </c>
      <c r="F252" s="36">
        <f t="shared" si="101"/>
        <v>124</v>
      </c>
      <c r="G252" s="37">
        <f t="shared" si="101"/>
        <v>178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梅田!C126</f>
        <v>0</v>
      </c>
      <c r="D257" s="33">
        <f>梅田!E126</f>
        <v>0</v>
      </c>
      <c r="E257" s="33">
        <f>梅田!G126</f>
        <v>0</v>
      </c>
      <c r="F257" s="33">
        <f>梅田!I126</f>
        <v>0</v>
      </c>
      <c r="G257" s="34">
        <f>梅田!K126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246</v>
      </c>
      <c r="D260" s="36">
        <f t="shared" si="106"/>
        <v>380</v>
      </c>
      <c r="E260" s="36">
        <f t="shared" si="106"/>
        <v>176</v>
      </c>
      <c r="F260" s="36">
        <f t="shared" si="106"/>
        <v>124</v>
      </c>
      <c r="G260" s="37">
        <f t="shared" si="106"/>
        <v>178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246</v>
      </c>
      <c r="D265" s="36">
        <f t="shared" si="107"/>
        <v>380</v>
      </c>
      <c r="E265" s="36">
        <f t="shared" si="107"/>
        <v>176</v>
      </c>
      <c r="F265" s="36">
        <f t="shared" si="107"/>
        <v>124</v>
      </c>
      <c r="G265" s="37">
        <f t="shared" si="107"/>
        <v>178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梅田!C127</f>
        <v>0</v>
      </c>
      <c r="D270" s="33">
        <f>梅田!E127</f>
        <v>0</v>
      </c>
      <c r="E270" s="33">
        <f>梅田!G127</f>
        <v>0</v>
      </c>
      <c r="F270" s="33">
        <f>梅田!I127</f>
        <v>0</v>
      </c>
      <c r="G270" s="34">
        <f>梅田!K127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246</v>
      </c>
      <c r="D273" s="36">
        <f t="shared" si="112"/>
        <v>380</v>
      </c>
      <c r="E273" s="36">
        <f t="shared" si="112"/>
        <v>176</v>
      </c>
      <c r="F273" s="36">
        <f t="shared" si="112"/>
        <v>124</v>
      </c>
      <c r="G273" s="37">
        <f t="shared" si="112"/>
        <v>178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246</v>
      </c>
      <c r="D278" s="36">
        <f t="shared" si="113"/>
        <v>380</v>
      </c>
      <c r="E278" s="36">
        <f t="shared" si="113"/>
        <v>176</v>
      </c>
      <c r="F278" s="36">
        <f t="shared" si="113"/>
        <v>124</v>
      </c>
      <c r="G278" s="37">
        <f t="shared" si="113"/>
        <v>178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梅田!C128</f>
        <v>0</v>
      </c>
      <c r="D283" s="33">
        <f>梅田!E128</f>
        <v>0</v>
      </c>
      <c r="E283" s="33">
        <f>梅田!G128</f>
        <v>0</v>
      </c>
      <c r="F283" s="33">
        <f>梅田!I128</f>
        <v>0</v>
      </c>
      <c r="G283" s="34">
        <f>梅田!K128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246</v>
      </c>
      <c r="D286" s="36">
        <f t="shared" si="118"/>
        <v>380</v>
      </c>
      <c r="E286" s="36">
        <f t="shared" si="118"/>
        <v>176</v>
      </c>
      <c r="F286" s="36">
        <f t="shared" si="118"/>
        <v>124</v>
      </c>
      <c r="G286" s="37">
        <f t="shared" si="118"/>
        <v>178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246</v>
      </c>
      <c r="D291" s="36">
        <f t="shared" si="119"/>
        <v>380</v>
      </c>
      <c r="E291" s="36">
        <f t="shared" si="119"/>
        <v>176</v>
      </c>
      <c r="F291" s="36">
        <f t="shared" si="119"/>
        <v>124</v>
      </c>
      <c r="G291" s="37">
        <f t="shared" si="119"/>
        <v>178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梅田!C129</f>
        <v>0</v>
      </c>
      <c r="D296" s="33">
        <f>梅田!E129</f>
        <v>0</v>
      </c>
      <c r="E296" s="33">
        <f>梅田!G129</f>
        <v>0</v>
      </c>
      <c r="F296" s="33">
        <f>梅田!I129</f>
        <v>0</v>
      </c>
      <c r="G296" s="34">
        <f>梅田!K129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246</v>
      </c>
      <c r="D299" s="36">
        <f t="shared" si="124"/>
        <v>380</v>
      </c>
      <c r="E299" s="36">
        <f t="shared" si="124"/>
        <v>176</v>
      </c>
      <c r="F299" s="36">
        <f t="shared" si="124"/>
        <v>124</v>
      </c>
      <c r="G299" s="37">
        <f t="shared" si="124"/>
        <v>178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246</v>
      </c>
      <c r="D304" s="36">
        <f t="shared" si="125"/>
        <v>380</v>
      </c>
      <c r="E304" s="36">
        <f t="shared" si="125"/>
        <v>176</v>
      </c>
      <c r="F304" s="36">
        <f t="shared" si="125"/>
        <v>124</v>
      </c>
      <c r="G304" s="37">
        <f t="shared" si="125"/>
        <v>178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梅田!C130</f>
        <v>0</v>
      </c>
      <c r="D309" s="33">
        <f>梅田!E130</f>
        <v>0</v>
      </c>
      <c r="E309" s="33">
        <f>梅田!G130</f>
        <v>0</v>
      </c>
      <c r="F309" s="33">
        <f>梅田!I130</f>
        <v>0</v>
      </c>
      <c r="G309" s="34">
        <f>梅田!K130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246</v>
      </c>
      <c r="D312" s="36">
        <f t="shared" si="130"/>
        <v>380</v>
      </c>
      <c r="E312" s="36">
        <f t="shared" si="130"/>
        <v>176</v>
      </c>
      <c r="F312" s="36">
        <f t="shared" si="130"/>
        <v>124</v>
      </c>
      <c r="G312" s="37">
        <f t="shared" si="130"/>
        <v>178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246</v>
      </c>
      <c r="D317" s="36">
        <f t="shared" si="131"/>
        <v>380</v>
      </c>
      <c r="E317" s="36">
        <f t="shared" si="131"/>
        <v>176</v>
      </c>
      <c r="F317" s="36">
        <f t="shared" si="131"/>
        <v>124</v>
      </c>
      <c r="G317" s="37">
        <f t="shared" si="131"/>
        <v>178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梅田!C131</f>
        <v>0</v>
      </c>
      <c r="D322" s="33">
        <f>梅田!E131</f>
        <v>0</v>
      </c>
      <c r="E322" s="33">
        <f>梅田!G131</f>
        <v>0</v>
      </c>
      <c r="F322" s="33">
        <f>梅田!I131</f>
        <v>0</v>
      </c>
      <c r="G322" s="34">
        <f>梅田!K131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246</v>
      </c>
      <c r="D325" s="36">
        <f t="shared" si="136"/>
        <v>380</v>
      </c>
      <c r="E325" s="36">
        <f t="shared" si="136"/>
        <v>176</v>
      </c>
      <c r="F325" s="36">
        <f t="shared" si="136"/>
        <v>124</v>
      </c>
      <c r="G325" s="37">
        <f t="shared" si="136"/>
        <v>178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246</v>
      </c>
      <c r="D330" s="36">
        <f t="shared" si="137"/>
        <v>380</v>
      </c>
      <c r="E330" s="36">
        <f t="shared" si="137"/>
        <v>176</v>
      </c>
      <c r="F330" s="36">
        <f t="shared" si="137"/>
        <v>124</v>
      </c>
      <c r="G330" s="37">
        <f t="shared" si="137"/>
        <v>178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梅田!C132</f>
        <v>0</v>
      </c>
      <c r="D335" s="33">
        <f>梅田!E132</f>
        <v>0</v>
      </c>
      <c r="E335" s="33">
        <f>梅田!G132</f>
        <v>0</v>
      </c>
      <c r="F335" s="33">
        <f>梅田!I132</f>
        <v>0</v>
      </c>
      <c r="G335" s="34">
        <f>梅田!K132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246</v>
      </c>
      <c r="D338" s="36">
        <f t="shared" si="142"/>
        <v>380</v>
      </c>
      <c r="E338" s="36">
        <f t="shared" si="142"/>
        <v>176</v>
      </c>
      <c r="F338" s="36">
        <f t="shared" si="142"/>
        <v>124</v>
      </c>
      <c r="G338" s="37">
        <f t="shared" si="142"/>
        <v>178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246</v>
      </c>
      <c r="D343" s="36">
        <f t="shared" si="143"/>
        <v>380</v>
      </c>
      <c r="E343" s="36">
        <f t="shared" si="143"/>
        <v>176</v>
      </c>
      <c r="F343" s="36">
        <f t="shared" si="143"/>
        <v>124</v>
      </c>
      <c r="G343" s="37">
        <f t="shared" si="143"/>
        <v>178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梅田!C133</f>
        <v>0</v>
      </c>
      <c r="D348" s="33">
        <f>梅田!E133</f>
        <v>0</v>
      </c>
      <c r="E348" s="33">
        <f>梅田!G133</f>
        <v>0</v>
      </c>
      <c r="F348" s="33">
        <f>梅田!I133</f>
        <v>0</v>
      </c>
      <c r="G348" s="34">
        <f>梅田!K133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246</v>
      </c>
      <c r="D351" s="36">
        <f t="shared" si="148"/>
        <v>380</v>
      </c>
      <c r="E351" s="36">
        <f t="shared" si="148"/>
        <v>176</v>
      </c>
      <c r="F351" s="36">
        <f t="shared" si="148"/>
        <v>124</v>
      </c>
      <c r="G351" s="37">
        <f t="shared" si="148"/>
        <v>178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246</v>
      </c>
      <c r="D356" s="36">
        <f t="shared" si="149"/>
        <v>380</v>
      </c>
      <c r="E356" s="36">
        <f t="shared" si="149"/>
        <v>176</v>
      </c>
      <c r="F356" s="36">
        <f t="shared" si="149"/>
        <v>124</v>
      </c>
      <c r="G356" s="37">
        <f t="shared" si="149"/>
        <v>178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梅田!C134</f>
        <v>0</v>
      </c>
      <c r="D361" s="33">
        <f>梅田!E134</f>
        <v>0</v>
      </c>
      <c r="E361" s="33">
        <f>梅田!G134</f>
        <v>0</v>
      </c>
      <c r="F361" s="33">
        <f>梅田!I134</f>
        <v>0</v>
      </c>
      <c r="G361" s="34">
        <f>梅田!K134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246</v>
      </c>
      <c r="D364" s="36">
        <f t="shared" si="154"/>
        <v>380</v>
      </c>
      <c r="E364" s="36">
        <f t="shared" si="154"/>
        <v>176</v>
      </c>
      <c r="F364" s="36">
        <f t="shared" si="154"/>
        <v>124</v>
      </c>
      <c r="G364" s="37">
        <f t="shared" si="154"/>
        <v>178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246</v>
      </c>
      <c r="D369" s="36">
        <f t="shared" si="155"/>
        <v>380</v>
      </c>
      <c r="E369" s="36">
        <f t="shared" si="155"/>
        <v>176</v>
      </c>
      <c r="F369" s="36">
        <f t="shared" si="155"/>
        <v>124</v>
      </c>
      <c r="G369" s="37">
        <f t="shared" si="155"/>
        <v>178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梅田!C135</f>
        <v>0</v>
      </c>
      <c r="D374" s="33">
        <f>梅田!E135</f>
        <v>0</v>
      </c>
      <c r="E374" s="33">
        <f>梅田!G135</f>
        <v>0</v>
      </c>
      <c r="F374" s="33">
        <f>梅田!I135</f>
        <v>0</v>
      </c>
      <c r="G374" s="34">
        <f>梅田!K135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246</v>
      </c>
      <c r="D377" s="36">
        <f t="shared" si="160"/>
        <v>380</v>
      </c>
      <c r="E377" s="36">
        <f t="shared" si="160"/>
        <v>176</v>
      </c>
      <c r="F377" s="36">
        <f t="shared" si="160"/>
        <v>124</v>
      </c>
      <c r="G377" s="37">
        <f t="shared" si="160"/>
        <v>178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246</v>
      </c>
      <c r="D382" s="36">
        <f t="shared" si="161"/>
        <v>380</v>
      </c>
      <c r="E382" s="36">
        <f t="shared" si="161"/>
        <v>176</v>
      </c>
      <c r="F382" s="36">
        <f t="shared" si="161"/>
        <v>124</v>
      </c>
      <c r="G382" s="37">
        <f t="shared" si="161"/>
        <v>178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梅田!C136</f>
        <v>0</v>
      </c>
      <c r="D387" s="33">
        <f>梅田!E136</f>
        <v>0</v>
      </c>
      <c r="E387" s="33">
        <f>梅田!G136</f>
        <v>0</v>
      </c>
      <c r="F387" s="33">
        <f>梅田!I136</f>
        <v>0</v>
      </c>
      <c r="G387" s="34">
        <f>梅田!K136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246</v>
      </c>
      <c r="D390" s="36">
        <f t="shared" si="166"/>
        <v>380</v>
      </c>
      <c r="E390" s="36">
        <f t="shared" si="166"/>
        <v>176</v>
      </c>
      <c r="F390" s="36">
        <f t="shared" si="166"/>
        <v>124</v>
      </c>
      <c r="G390" s="37">
        <f t="shared" si="166"/>
        <v>178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246</v>
      </c>
      <c r="D395" s="36">
        <f t="shared" si="167"/>
        <v>380</v>
      </c>
      <c r="E395" s="36">
        <f t="shared" si="167"/>
        <v>176</v>
      </c>
      <c r="F395" s="36">
        <f t="shared" si="167"/>
        <v>124</v>
      </c>
      <c r="G395" s="37">
        <f t="shared" si="167"/>
        <v>178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梅田!C137</f>
        <v>0</v>
      </c>
      <c r="D400" s="33">
        <f>梅田!E137</f>
        <v>0</v>
      </c>
      <c r="E400" s="33">
        <f>梅田!G137</f>
        <v>0</v>
      </c>
      <c r="F400" s="33">
        <f>梅田!I137</f>
        <v>0</v>
      </c>
      <c r="G400" s="34">
        <f>梅田!K137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246</v>
      </c>
      <c r="D403" s="36">
        <f t="shared" si="172"/>
        <v>380</v>
      </c>
      <c r="E403" s="36">
        <f t="shared" si="172"/>
        <v>176</v>
      </c>
      <c r="F403" s="36">
        <f t="shared" si="172"/>
        <v>124</v>
      </c>
      <c r="G403" s="37">
        <f t="shared" si="172"/>
        <v>178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2021-03-15T12:33:25Z</dcterms:modified>
</cp:coreProperties>
</file>