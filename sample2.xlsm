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8061A5F4-745E-2148-84AE-976912056388}" xr6:coauthVersionLast="46" xr6:coauthVersionMax="46" xr10:uidLastSave="{00000000-0000-0000-0000-000000000000}"/>
  <bookViews>
    <workbookView xWindow="5080" yWindow="-19860" windowWidth="28800" windowHeight="17500" activeTab="5" xr2:uid="{00000000-000D-0000-FFFF-FFFF00000000}"/>
  </bookViews>
  <sheets>
    <sheet name="心斎橋" sheetId="5" r:id="rId1"/>
    <sheet name="京都" sheetId="6" r:id="rId2"/>
    <sheet name="神戸" sheetId="7" r:id="rId3"/>
    <sheet name="梅田" sheetId="8" r:id="rId4"/>
    <sheet name="5月" sheetId="12" r:id="rId5"/>
    <sheet name="6月" sheetId="9" r:id="rId6"/>
    <sheet name="7月" sheetId="10" r:id="rId7"/>
    <sheet name="8月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2" l="1"/>
  <c r="E21" i="12"/>
  <c r="F21" i="12"/>
  <c r="G21" i="12"/>
  <c r="G22" i="12" s="1"/>
  <c r="C22" i="12"/>
  <c r="D22" i="12"/>
  <c r="E22" i="12"/>
  <c r="F22" i="12"/>
  <c r="C329" i="10"/>
  <c r="D329" i="10"/>
  <c r="E329" i="10"/>
  <c r="F329" i="10"/>
  <c r="G329" i="10"/>
  <c r="C38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6" i="8" l="1"/>
  <c r="G30" i="12" l="1"/>
  <c r="G108" i="12"/>
  <c r="G82" i="12"/>
  <c r="K108" i="8" l="1"/>
  <c r="I108" i="8"/>
  <c r="G108" i="8"/>
  <c r="E108" i="8"/>
  <c r="C108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3" i="8" l="1"/>
  <c r="K103" i="8" l="1"/>
  <c r="I103" i="8"/>
  <c r="G103" i="8"/>
  <c r="E103" i="8"/>
  <c r="C103" i="8"/>
  <c r="K102" i="8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G88" i="10" s="1"/>
  <c r="I79" i="8"/>
  <c r="F88" i="10" s="1"/>
  <c r="G79" i="8"/>
  <c r="E88" i="10" s="1"/>
  <c r="E79" i="8"/>
  <c r="D88" i="10" s="1"/>
  <c r="C79" i="8"/>
  <c r="C88" i="10" s="1"/>
  <c r="K78" i="8"/>
  <c r="G75" i="10" s="1"/>
  <c r="I78" i="8"/>
  <c r="F75" i="10" s="1"/>
  <c r="G78" i="8"/>
  <c r="E75" i="10" s="1"/>
  <c r="E78" i="8"/>
  <c r="D75" i="10" s="1"/>
  <c r="C78" i="8"/>
  <c r="C75" i="10" s="1"/>
  <c r="K77" i="8"/>
  <c r="G62" i="10" s="1"/>
  <c r="I77" i="8"/>
  <c r="F62" i="10" s="1"/>
  <c r="G77" i="8"/>
  <c r="E62" i="10" s="1"/>
  <c r="E77" i="8"/>
  <c r="D62" i="10" s="1"/>
  <c r="C77" i="8"/>
  <c r="C62" i="10" s="1"/>
  <c r="K76" i="8"/>
  <c r="G76" i="8"/>
  <c r="E76" i="8"/>
  <c r="C76" i="8"/>
  <c r="K75" i="8"/>
  <c r="G36" i="10" s="1"/>
  <c r="I75" i="8"/>
  <c r="F36" i="10" s="1"/>
  <c r="G75" i="8"/>
  <c r="E36" i="10" s="1"/>
  <c r="E75" i="8"/>
  <c r="D36" i="10" s="1"/>
  <c r="C75" i="8"/>
  <c r="C36" i="10" s="1"/>
  <c r="K74" i="8"/>
  <c r="G23" i="10" s="1"/>
  <c r="I74" i="8"/>
  <c r="F23" i="10" s="1"/>
  <c r="G74" i="8"/>
  <c r="E23" i="10" s="1"/>
  <c r="E74" i="8"/>
  <c r="D23" i="10" s="1"/>
  <c r="C74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8" i="8"/>
  <c r="G10" i="9" s="1"/>
  <c r="I38" i="8"/>
  <c r="F10" i="9" s="1"/>
  <c r="G38" i="8"/>
  <c r="E10" i="9" s="1"/>
  <c r="E38" i="8"/>
  <c r="D10" i="9" s="1"/>
  <c r="C10" i="9"/>
  <c r="C39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21" i="9"/>
  <c r="E121" i="12"/>
  <c r="F30" i="9"/>
  <c r="F30" i="12"/>
  <c r="G56" i="9"/>
  <c r="G56" i="12"/>
  <c r="C95" i="9"/>
  <c r="C95" i="12"/>
  <c r="D17" i="9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F394" i="12"/>
  <c r="C160" i="9"/>
  <c r="C160" i="12"/>
  <c r="D69" i="9"/>
  <c r="D69" i="12"/>
  <c r="E82" i="9"/>
  <c r="E82" i="12"/>
  <c r="E394" i="12"/>
  <c r="F95" i="9"/>
  <c r="F95" i="12"/>
  <c r="G17" i="9"/>
  <c r="G121" i="9"/>
  <c r="G121" i="12"/>
  <c r="D56" i="9"/>
  <c r="D56" i="12"/>
  <c r="C43" i="9"/>
  <c r="C43" i="12"/>
  <c r="C69" i="9"/>
  <c r="C69" i="12"/>
  <c r="D82" i="9"/>
  <c r="D82" i="12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21" i="9"/>
  <c r="F121" i="12"/>
  <c r="G43" i="9"/>
  <c r="G43" i="12"/>
  <c r="G147" i="9"/>
  <c r="G147" i="12"/>
  <c r="G251" i="9"/>
  <c r="G251" i="12"/>
  <c r="C17" i="9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31" i="12" l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31" i="12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31" i="12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31" i="12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31" i="12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8" i="8"/>
  <c r="G400" i="11" s="1"/>
  <c r="I138" i="8"/>
  <c r="F400" i="11" s="1"/>
  <c r="G138" i="8"/>
  <c r="E400" i="11" s="1"/>
  <c r="E138" i="8"/>
  <c r="D400" i="11" s="1"/>
  <c r="C138" i="8"/>
  <c r="C400" i="11" s="1"/>
  <c r="K137" i="8"/>
  <c r="G387" i="11" s="1"/>
  <c r="I137" i="8"/>
  <c r="F387" i="11" s="1"/>
  <c r="G137" i="8"/>
  <c r="E387" i="11" s="1"/>
  <c r="E137" i="8"/>
  <c r="D387" i="11" s="1"/>
  <c r="C137" i="8"/>
  <c r="C387" i="11" s="1"/>
  <c r="K136" i="8"/>
  <c r="G374" i="11" s="1"/>
  <c r="I136" i="8"/>
  <c r="F374" i="11" s="1"/>
  <c r="G136" i="8"/>
  <c r="E374" i="11" s="1"/>
  <c r="E136" i="8"/>
  <c r="D374" i="11" s="1"/>
  <c r="C136" i="8"/>
  <c r="C374" i="11" s="1"/>
  <c r="K135" i="8"/>
  <c r="G361" i="11" s="1"/>
  <c r="I135" i="8"/>
  <c r="F361" i="11" s="1"/>
  <c r="G135" i="8"/>
  <c r="E361" i="11" s="1"/>
  <c r="E135" i="8"/>
  <c r="D361" i="11" s="1"/>
  <c r="C135" i="8"/>
  <c r="K134" i="8"/>
  <c r="G348" i="11" s="1"/>
  <c r="I134" i="8"/>
  <c r="F348" i="11" s="1"/>
  <c r="G134" i="8"/>
  <c r="E348" i="11" s="1"/>
  <c r="E134" i="8"/>
  <c r="D348" i="11" s="1"/>
  <c r="C134" i="8"/>
  <c r="K133" i="8"/>
  <c r="G335" i="11" s="1"/>
  <c r="I133" i="8"/>
  <c r="F335" i="11" s="1"/>
  <c r="G133" i="8"/>
  <c r="E335" i="11" s="1"/>
  <c r="E133" i="8"/>
  <c r="D335" i="11" s="1"/>
  <c r="C133" i="8"/>
  <c r="K132" i="8"/>
  <c r="G322" i="11" s="1"/>
  <c r="I132" i="8"/>
  <c r="F322" i="11" s="1"/>
  <c r="G132" i="8"/>
  <c r="E322" i="11" s="1"/>
  <c r="E132" i="8"/>
  <c r="D322" i="11" s="1"/>
  <c r="C132" i="8"/>
  <c r="K131" i="8"/>
  <c r="G309" i="11" s="1"/>
  <c r="I131" i="8"/>
  <c r="F309" i="11" s="1"/>
  <c r="G131" i="8"/>
  <c r="E309" i="11" s="1"/>
  <c r="E131" i="8"/>
  <c r="D309" i="11" s="1"/>
  <c r="C131" i="8"/>
  <c r="K130" i="8"/>
  <c r="I130" i="8"/>
  <c r="G130" i="8"/>
  <c r="E130" i="8"/>
  <c r="C130" i="8"/>
  <c r="K129" i="8"/>
  <c r="I129" i="8"/>
  <c r="G129" i="8"/>
  <c r="E129" i="8"/>
  <c r="C129" i="8"/>
  <c r="K128" i="8"/>
  <c r="G270" i="11" s="1"/>
  <c r="I128" i="8"/>
  <c r="F270" i="11" s="1"/>
  <c r="G128" i="8"/>
  <c r="E270" i="11" s="1"/>
  <c r="E128" i="8"/>
  <c r="D270" i="11" s="1"/>
  <c r="C128" i="8"/>
  <c r="C270" i="11" s="1"/>
  <c r="K127" i="8"/>
  <c r="G257" i="11" s="1"/>
  <c r="I127" i="8"/>
  <c r="F257" i="11" s="1"/>
  <c r="G127" i="8"/>
  <c r="E257" i="11" s="1"/>
  <c r="E127" i="8"/>
  <c r="D257" i="11" s="1"/>
  <c r="C127" i="8"/>
  <c r="C257" i="11" s="1"/>
  <c r="K126" i="8"/>
  <c r="G244" i="11" s="1"/>
  <c r="I126" i="8"/>
  <c r="F244" i="11" s="1"/>
  <c r="G126" i="8"/>
  <c r="E244" i="11" s="1"/>
  <c r="E126" i="8"/>
  <c r="D244" i="11" s="1"/>
  <c r="C126" i="8"/>
  <c r="C244" i="11" s="1"/>
  <c r="K125" i="8"/>
  <c r="G231" i="11" s="1"/>
  <c r="I125" i="8"/>
  <c r="F231" i="11" s="1"/>
  <c r="G125" i="8"/>
  <c r="E231" i="11" s="1"/>
  <c r="E125" i="8"/>
  <c r="D231" i="11" s="1"/>
  <c r="C125" i="8"/>
  <c r="C231" i="11" s="1"/>
  <c r="K124" i="8"/>
  <c r="G218" i="11" s="1"/>
  <c r="I124" i="8"/>
  <c r="F218" i="11" s="1"/>
  <c r="G124" i="8"/>
  <c r="E218" i="11" s="1"/>
  <c r="E124" i="8"/>
  <c r="D218" i="11" s="1"/>
  <c r="C124" i="8"/>
  <c r="C218" i="11" s="1"/>
  <c r="K123" i="8"/>
  <c r="G205" i="11" s="1"/>
  <c r="I123" i="8"/>
  <c r="F205" i="11" s="1"/>
  <c r="G123" i="8"/>
  <c r="E205" i="11" s="1"/>
  <c r="E123" i="8"/>
  <c r="D205" i="11" s="1"/>
  <c r="C123" i="8"/>
  <c r="C205" i="11" s="1"/>
  <c r="K122" i="8"/>
  <c r="G192" i="11" s="1"/>
  <c r="I122" i="8"/>
  <c r="F192" i="11" s="1"/>
  <c r="G122" i="8"/>
  <c r="E192" i="11" s="1"/>
  <c r="E122" i="8"/>
  <c r="D192" i="11" s="1"/>
  <c r="C122" i="8"/>
  <c r="C192" i="11" s="1"/>
  <c r="K121" i="8"/>
  <c r="G179" i="11" s="1"/>
  <c r="I121" i="8"/>
  <c r="F179" i="11" s="1"/>
  <c r="G121" i="8"/>
  <c r="E179" i="11" s="1"/>
  <c r="E121" i="8"/>
  <c r="D179" i="11" s="1"/>
  <c r="C121" i="8"/>
  <c r="C179" i="11" s="1"/>
  <c r="K120" i="8"/>
  <c r="G166" i="11" s="1"/>
  <c r="I120" i="8"/>
  <c r="F166" i="11" s="1"/>
  <c r="G120" i="8"/>
  <c r="E166" i="11" s="1"/>
  <c r="E120" i="8"/>
  <c r="D166" i="11" s="1"/>
  <c r="C120" i="8"/>
  <c r="C166" i="11" s="1"/>
  <c r="K119" i="8"/>
  <c r="G153" i="11" s="1"/>
  <c r="I119" i="8"/>
  <c r="F153" i="11" s="1"/>
  <c r="G119" i="8"/>
  <c r="E153" i="11" s="1"/>
  <c r="E119" i="8"/>
  <c r="D153" i="11" s="1"/>
  <c r="C119" i="8"/>
  <c r="C153" i="11" s="1"/>
  <c r="K118" i="8"/>
  <c r="I118" i="8"/>
  <c r="F140" i="11" s="1"/>
  <c r="G118" i="8"/>
  <c r="E140" i="11" s="1"/>
  <c r="E118" i="8"/>
  <c r="D140" i="11" s="1"/>
  <c r="C118" i="8"/>
  <c r="C140" i="11" s="1"/>
  <c r="K117" i="8"/>
  <c r="G127" i="11" s="1"/>
  <c r="I117" i="8"/>
  <c r="F127" i="11" s="1"/>
  <c r="G117" i="8"/>
  <c r="E127" i="11" s="1"/>
  <c r="E117" i="8"/>
  <c r="D127" i="11" s="1"/>
  <c r="C117" i="8"/>
  <c r="C127" i="11" s="1"/>
  <c r="K116" i="8"/>
  <c r="G114" i="11" s="1"/>
  <c r="I116" i="8"/>
  <c r="F114" i="11" s="1"/>
  <c r="G116" i="8"/>
  <c r="E114" i="11" s="1"/>
  <c r="E116" i="8"/>
  <c r="D114" i="11" s="1"/>
  <c r="C116" i="8"/>
  <c r="C114" i="11" s="1"/>
  <c r="K115" i="8"/>
  <c r="G101" i="11" s="1"/>
  <c r="I115" i="8"/>
  <c r="F101" i="11" s="1"/>
  <c r="G115" i="8"/>
  <c r="E101" i="11" s="1"/>
  <c r="E115" i="8"/>
  <c r="D101" i="11" s="1"/>
  <c r="C115" i="8"/>
  <c r="C101" i="11" s="1"/>
  <c r="K114" i="8"/>
  <c r="G88" i="11" s="1"/>
  <c r="I114" i="8"/>
  <c r="F88" i="11" s="1"/>
  <c r="G114" i="8"/>
  <c r="E88" i="11" s="1"/>
  <c r="E114" i="8"/>
  <c r="D88" i="11" s="1"/>
  <c r="C114" i="8"/>
  <c r="C88" i="11" s="1"/>
  <c r="K113" i="8"/>
  <c r="G75" i="11" s="1"/>
  <c r="I113" i="8"/>
  <c r="F75" i="11" s="1"/>
  <c r="G113" i="8"/>
  <c r="E75" i="11" s="1"/>
  <c r="E113" i="8"/>
  <c r="D75" i="11" s="1"/>
  <c r="C113" i="8"/>
  <c r="C75" i="11" s="1"/>
  <c r="K112" i="8"/>
  <c r="G62" i="11" s="1"/>
  <c r="I112" i="8"/>
  <c r="F62" i="11" s="1"/>
  <c r="G112" i="8"/>
  <c r="E62" i="11" s="1"/>
  <c r="E112" i="8"/>
  <c r="D62" i="11" s="1"/>
  <c r="C112" i="8"/>
  <c r="C62" i="11" s="1"/>
  <c r="K111" i="8"/>
  <c r="G49" i="11" s="1"/>
  <c r="I111" i="8"/>
  <c r="F49" i="11" s="1"/>
  <c r="G111" i="8"/>
  <c r="E49" i="11" s="1"/>
  <c r="E111" i="8"/>
  <c r="D49" i="11" s="1"/>
  <c r="C111" i="8"/>
  <c r="C49" i="11" s="1"/>
  <c r="K110" i="8"/>
  <c r="G36" i="11" s="1"/>
  <c r="I110" i="8"/>
  <c r="F36" i="11" s="1"/>
  <c r="G110" i="8"/>
  <c r="E36" i="11" s="1"/>
  <c r="E110" i="8"/>
  <c r="D36" i="11" s="1"/>
  <c r="C110" i="8"/>
  <c r="C36" i="11" s="1"/>
  <c r="K109" i="8"/>
  <c r="G23" i="11" s="1"/>
  <c r="I109" i="8"/>
  <c r="F23" i="11" s="1"/>
  <c r="G109" i="8"/>
  <c r="E23" i="11" s="1"/>
  <c r="E109" i="8"/>
  <c r="D23" i="11" s="1"/>
  <c r="C109" i="8"/>
  <c r="C23" i="11" s="1"/>
  <c r="G10" i="11"/>
  <c r="F10" i="11"/>
  <c r="E10" i="11"/>
  <c r="D10" i="11"/>
  <c r="C10" i="11"/>
  <c r="K68" i="8"/>
  <c r="K73" i="8" s="1"/>
  <c r="G10" i="10" s="1"/>
  <c r="I68" i="8"/>
  <c r="I73" i="8" s="1"/>
  <c r="F10" i="10" s="1"/>
  <c r="G68" i="8"/>
  <c r="G73" i="8" s="1"/>
  <c r="E10" i="10" s="1"/>
  <c r="E68" i="8"/>
  <c r="E73" i="8" s="1"/>
  <c r="D10" i="10" s="1"/>
  <c r="C68" i="8"/>
  <c r="C73" i="8" s="1"/>
  <c r="C10" i="10" s="1"/>
  <c r="K67" i="8"/>
  <c r="I67" i="8"/>
  <c r="G67" i="8"/>
  <c r="E67" i="8"/>
  <c r="C67" i="8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I53" i="8"/>
  <c r="G53" i="8"/>
  <c r="E53" i="8"/>
  <c r="C53" i="8"/>
  <c r="K52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G153" i="9" s="1"/>
  <c r="I49" i="8"/>
  <c r="F153" i="9" s="1"/>
  <c r="G49" i="8"/>
  <c r="E153" i="9" s="1"/>
  <c r="E49" i="8"/>
  <c r="D153" i="9" s="1"/>
  <c r="C49" i="8"/>
  <c r="C153" i="9" s="1"/>
  <c r="K48" i="8"/>
  <c r="G140" i="9" s="1"/>
  <c r="I48" i="8"/>
  <c r="F140" i="9" s="1"/>
  <c r="G48" i="8"/>
  <c r="E140" i="9" s="1"/>
  <c r="E48" i="8"/>
  <c r="D140" i="9" s="1"/>
  <c r="C48" i="8"/>
  <c r="C140" i="9" s="1"/>
  <c r="K47" i="8"/>
  <c r="G127" i="9" s="1"/>
  <c r="I47" i="8"/>
  <c r="F127" i="9" s="1"/>
  <c r="G47" i="8"/>
  <c r="E127" i="9" s="1"/>
  <c r="E47" i="8"/>
  <c r="D127" i="9" s="1"/>
  <c r="C47" i="8"/>
  <c r="C127" i="9" s="1"/>
  <c r="K46" i="8"/>
  <c r="G114" i="9" s="1"/>
  <c r="I46" i="8"/>
  <c r="F114" i="9" s="1"/>
  <c r="G46" i="8"/>
  <c r="E114" i="9" s="1"/>
  <c r="E46" i="8"/>
  <c r="D114" i="9" s="1"/>
  <c r="C46" i="8"/>
  <c r="C114" i="9" s="1"/>
  <c r="K45" i="8"/>
  <c r="G101" i="9" s="1"/>
  <c r="I45" i="8"/>
  <c r="F101" i="9" s="1"/>
  <c r="G45" i="8"/>
  <c r="E101" i="9" s="1"/>
  <c r="E45" i="8"/>
  <c r="D101" i="9" s="1"/>
  <c r="C45" i="8"/>
  <c r="C101" i="9" s="1"/>
  <c r="K44" i="8"/>
  <c r="G88" i="9" s="1"/>
  <c r="I44" i="8"/>
  <c r="F88" i="9" s="1"/>
  <c r="G44" i="8"/>
  <c r="E88" i="9" s="1"/>
  <c r="E44" i="8"/>
  <c r="D88" i="9" s="1"/>
  <c r="C44" i="8"/>
  <c r="C88" i="9" s="1"/>
  <c r="K43" i="8"/>
  <c r="G75" i="9" s="1"/>
  <c r="I43" i="8"/>
  <c r="F75" i="9" s="1"/>
  <c r="G43" i="8"/>
  <c r="E75" i="9" s="1"/>
  <c r="E43" i="8"/>
  <c r="D75" i="9" s="1"/>
  <c r="C43" i="8"/>
  <c r="C75" i="9" s="1"/>
  <c r="K42" i="8"/>
  <c r="G62" i="9" s="1"/>
  <c r="I42" i="8"/>
  <c r="F62" i="9" s="1"/>
  <c r="G42" i="8"/>
  <c r="E62" i="9" s="1"/>
  <c r="E42" i="8"/>
  <c r="D62" i="9" s="1"/>
  <c r="C42" i="8"/>
  <c r="C62" i="9" s="1"/>
  <c r="K41" i="8"/>
  <c r="G49" i="9" s="1"/>
  <c r="I41" i="8"/>
  <c r="F49" i="9" s="1"/>
  <c r="G41" i="8"/>
  <c r="E49" i="9" s="1"/>
  <c r="E41" i="8"/>
  <c r="D49" i="9" s="1"/>
  <c r="C41" i="8"/>
  <c r="C49" i="9" s="1"/>
  <c r="K40" i="8"/>
  <c r="G36" i="9" s="1"/>
  <c r="I40" i="8"/>
  <c r="F36" i="9" s="1"/>
  <c r="G40" i="8"/>
  <c r="E36" i="9" s="1"/>
  <c r="E40" i="8"/>
  <c r="D36" i="9" s="1"/>
  <c r="C40" i="8"/>
  <c r="C36" i="9" s="1"/>
  <c r="K39" i="8"/>
  <c r="G23" i="9" s="1"/>
  <c r="I39" i="8"/>
  <c r="F23" i="9" s="1"/>
  <c r="G39" i="8"/>
  <c r="E23" i="9" s="1"/>
  <c r="E39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G82" i="10"/>
  <c r="G90" i="10" s="1"/>
  <c r="F82" i="10"/>
  <c r="F90" i="10" s="1"/>
  <c r="E82" i="10"/>
  <c r="E90" i="10" s="1"/>
  <c r="D82" i="10"/>
  <c r="D90" i="10" s="1"/>
  <c r="C82" i="10"/>
  <c r="G69" i="10"/>
  <c r="G77" i="10" s="1"/>
  <c r="F69" i="10"/>
  <c r="F77" i="10" s="1"/>
  <c r="E69" i="10"/>
  <c r="E77" i="10" s="1"/>
  <c r="D69" i="10"/>
  <c r="D77" i="10" s="1"/>
  <c r="C69" i="10"/>
  <c r="G56" i="10"/>
  <c r="G64" i="10" s="1"/>
  <c r="F56" i="10"/>
  <c r="F64" i="10" s="1"/>
  <c r="E56" i="10"/>
  <c r="E64" i="10" s="1"/>
  <c r="D56" i="10"/>
  <c r="D64" i="10" s="1"/>
  <c r="C56" i="10"/>
  <c r="F43" i="10"/>
  <c r="F51" i="10" s="1"/>
  <c r="C43" i="10"/>
  <c r="G30" i="10"/>
  <c r="G38" i="10" s="1"/>
  <c r="F30" i="10"/>
  <c r="F38" i="10" s="1"/>
  <c r="E30" i="10"/>
  <c r="E38" i="10" s="1"/>
  <c r="D30" i="10"/>
  <c r="D38" i="10" s="1"/>
  <c r="C30" i="10"/>
  <c r="G17" i="10"/>
  <c r="G25" i="10" s="1"/>
  <c r="F17" i="10"/>
  <c r="F25" i="10" s="1"/>
  <c r="E17" i="10"/>
  <c r="E25" i="10" s="1"/>
  <c r="D17" i="10"/>
  <c r="D25" i="10" s="1"/>
  <c r="C17" i="10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35" i="12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35" i="12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35" i="12"/>
  <c r="C60" i="9"/>
  <c r="C60" i="12"/>
  <c r="E73" i="9"/>
  <c r="E73" i="12"/>
  <c r="C112" i="9"/>
  <c r="C116" i="9" s="1"/>
  <c r="C112" i="12"/>
  <c r="E125" i="9"/>
  <c r="E125" i="12"/>
  <c r="F21" i="9"/>
  <c r="F35" i="12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C58" i="9"/>
  <c r="C58" i="12"/>
  <c r="E71" i="9"/>
  <c r="E71" i="12"/>
  <c r="E77" i="12" s="1"/>
  <c r="C110" i="9"/>
  <c r="C110" i="12"/>
  <c r="E123" i="9"/>
  <c r="E123" i="12"/>
  <c r="E129" i="12" s="1"/>
  <c r="F19" i="9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74" i="12" s="1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33" i="12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33" i="12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33" i="12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33" i="12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33" i="12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<sst xmlns="http://schemas.openxmlformats.org/spreadsheetml/2006/main" count="1968" uniqueCount="84">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</sst>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20"/>
      <color rgb="FF000000"/>
      <name val="Yu Gothic"/>
      <family val="3"/>
      <charset val="128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228600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8</xdr:row>
          <xdr:rowOff>215900</xdr:rowOff>
        </xdr:from>
        <xdr:to>
          <xdr:col>16</xdr:col>
          <xdr:colOff>0</xdr:colOff>
          <xdr:row>12</xdr:row>
          <xdr:rowOff>228600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660400</xdr:colOff>
          <xdr:row>38</xdr:row>
          <xdr:rowOff>228600</xdr:rowOff>
        </xdr:from>
        <xdr:to>
          <xdr:col>16</xdr:col>
          <xdr:colOff>0</xdr:colOff>
          <xdr:row>43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16</xdr:col>
          <xdr:colOff>0</xdr:colOff>
          <xdr:row>48</xdr:row>
          <xdr:rowOff>12700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72</xdr:row>
          <xdr:rowOff>50800</xdr:rowOff>
        </xdr:from>
        <xdr:to>
          <xdr:col>16</xdr:col>
          <xdr:colOff>88900</xdr:colOff>
          <xdr:row>75</xdr:row>
          <xdr:rowOff>88900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76</xdr:row>
          <xdr:rowOff>215900</xdr:rowOff>
        </xdr:from>
        <xdr:to>
          <xdr:col>16</xdr:col>
          <xdr:colOff>50800</xdr:colOff>
          <xdr:row>79</xdr:row>
          <xdr:rowOff>139700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3</xdr:row>
          <xdr:rowOff>76200</xdr:rowOff>
        </xdr:from>
        <xdr:to>
          <xdr:col>11</xdr:col>
          <xdr:colOff>342900</xdr:colOff>
          <xdr:row>5</xdr:row>
          <xdr:rowOff>304800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opLeftCell="B1" zoomScale="90" zoomScaleNormal="90" workbookViewId="0">
      <pane ySplit="2" topLeftCell="A3" activePane="bottomLeft" state="frozen"/>
      <selection pane="bottomLeft" activeCell="X17" sqref="X17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75</v>
      </c>
      <c r="D2" s="10"/>
      <c r="E2" s="11" t="s">
        <v>77</v>
      </c>
      <c r="F2" s="18"/>
      <c r="G2" s="17" t="s">
        <v>79</v>
      </c>
      <c r="H2" s="10"/>
      <c r="I2" s="17" t="s">
        <v>81</v>
      </c>
      <c r="J2" s="10"/>
      <c r="K2" s="11" t="s">
        <v>83</v>
      </c>
      <c r="L2" s="10"/>
    </row>
    <row r="3" spans="1:12" ht="18.5" customHeight="1">
      <c r="A3" s="15" t="s">
        <v>6</v>
      </c>
      <c r="B3" s="16">
        <v>44348</v>
      </c>
      <c r="C3" s="4">
        <v>10</v>
      </c>
      <c r="D3" s="3">
        <v>10</v>
      </c>
      <c r="E3" s="2">
        <v>10</v>
      </c>
      <c r="F3" s="3">
        <v>10</v>
      </c>
      <c r="G3" s="2">
        <v>10</v>
      </c>
      <c r="H3" s="3">
        <v>10</v>
      </c>
      <c r="I3" s="2">
        <v>30</v>
      </c>
      <c r="J3" s="3">
        <v>30</v>
      </c>
      <c r="K3" s="2">
        <v>80</v>
      </c>
      <c r="L3" s="3">
        <v>80</v>
      </c>
    </row>
    <row r="4" spans="1:12" ht="18.5" customHeight="1">
      <c r="A4" s="12" t="s">
        <v>7</v>
      </c>
      <c r="B4" s="13">
        <v>44349</v>
      </c>
      <c r="C4" s="4">
        <v>10</v>
      </c>
      <c r="D4" s="5"/>
      <c r="E4" s="4">
        <v>10</v>
      </c>
      <c r="F4" s="5"/>
      <c r="G4" s="4">
        <v>10</v>
      </c>
      <c r="H4" s="5"/>
      <c r="I4" s="4">
        <v>30</v>
      </c>
      <c r="J4" s="5"/>
      <c r="K4" s="4">
        <v>80</v>
      </c>
      <c r="L4" s="5"/>
    </row>
    <row r="5" spans="1:12" ht="18.5" customHeight="1">
      <c r="A5" s="12" t="s">
        <v>8</v>
      </c>
      <c r="B5" s="13">
        <v>44350</v>
      </c>
      <c r="C5" s="4">
        <v>0</v>
      </c>
      <c r="D5" s="5"/>
      <c r="E5" s="4">
        <v>0</v>
      </c>
      <c r="F5" s="5"/>
      <c r="G5" s="4">
        <v>0</v>
      </c>
      <c r="H5" s="5"/>
      <c r="I5" s="4">
        <v>0</v>
      </c>
      <c r="J5" s="5"/>
      <c r="K5" s="4">
        <v>0</v>
      </c>
      <c r="L5" s="5"/>
    </row>
    <row r="6" spans="1:12" ht="18.5" customHeight="1">
      <c r="A6" s="12" t="s">
        <v>9</v>
      </c>
      <c r="B6" s="13">
        <v>44351</v>
      </c>
      <c r="C6" s="4">
        <v>0</v>
      </c>
      <c r="D6" s="5"/>
      <c r="E6" s="4">
        <v>0</v>
      </c>
      <c r="F6" s="5"/>
      <c r="G6" s="4">
        <v>0</v>
      </c>
      <c r="H6" s="5"/>
      <c r="I6" s="4">
        <v>0</v>
      </c>
      <c r="J6" s="5"/>
      <c r="K6" s="4">
        <v>0</v>
      </c>
      <c r="L6" s="5"/>
    </row>
    <row r="7" spans="1:12" ht="18.5" customHeight="1">
      <c r="A7" s="12" t="s">
        <v>10</v>
      </c>
      <c r="B7" s="13">
        <v>44352</v>
      </c>
      <c r="C7" s="4">
        <v>0</v>
      </c>
      <c r="D7" s="5"/>
      <c r="E7" s="4">
        <v>0</v>
      </c>
      <c r="F7" s="5"/>
      <c r="G7" s="4">
        <v>0</v>
      </c>
      <c r="H7" s="5"/>
      <c r="I7" s="4">
        <v>0</v>
      </c>
      <c r="J7" s="5"/>
      <c r="K7" s="4">
        <v>0</v>
      </c>
      <c r="L7" s="5"/>
    </row>
    <row r="8" spans="1:12" ht="18.5" customHeight="1">
      <c r="A8" s="12" t="s">
        <v>11</v>
      </c>
      <c r="B8" s="13">
        <v>44353</v>
      </c>
      <c r="C8" s="4">
        <v>0</v>
      </c>
      <c r="D8" s="5"/>
      <c r="E8" s="4">
        <v>0</v>
      </c>
      <c r="F8" s="5"/>
      <c r="G8" s="4">
        <v>0</v>
      </c>
      <c r="H8" s="5"/>
      <c r="I8" s="4">
        <v>0</v>
      </c>
      <c r="J8" s="5"/>
      <c r="K8" s="4">
        <v>0</v>
      </c>
      <c r="L8" s="5"/>
    </row>
    <row r="9" spans="1:12" ht="18.5" customHeight="1">
      <c r="A9" s="12" t="s">
        <v>12</v>
      </c>
      <c r="B9" s="13">
        <v>44354</v>
      </c>
      <c r="C9" s="4">
        <v>0</v>
      </c>
      <c r="D9" s="5"/>
      <c r="E9" s="4">
        <v>0</v>
      </c>
      <c r="F9" s="5"/>
      <c r="G9" s="4">
        <v>0</v>
      </c>
      <c r="H9" s="5"/>
      <c r="I9" s="4">
        <v>0</v>
      </c>
      <c r="J9" s="5"/>
      <c r="K9" s="4">
        <v>0</v>
      </c>
      <c r="L9" s="5"/>
    </row>
    <row r="10" spans="1:12" ht="18.5" customHeight="1">
      <c r="A10" s="12" t="s">
        <v>13</v>
      </c>
      <c r="B10" s="13">
        <v>44355</v>
      </c>
      <c r="C10" s="4">
        <v>0</v>
      </c>
      <c r="D10" s="5"/>
      <c r="E10" s="4">
        <v>0</v>
      </c>
      <c r="F10" s="5"/>
      <c r="G10" s="4">
        <v>0</v>
      </c>
      <c r="H10" s="5"/>
      <c r="I10" s="4">
        <v>0</v>
      </c>
      <c r="J10" s="5"/>
      <c r="K10" s="4">
        <v>0</v>
      </c>
      <c r="L10" s="5"/>
    </row>
    <row r="11" spans="1:12" ht="18.5" customHeight="1">
      <c r="A11" s="12" t="s">
        <v>14</v>
      </c>
      <c r="B11" s="13">
        <v>44356</v>
      </c>
      <c r="C11" s="4">
        <v>0</v>
      </c>
      <c r="D11" s="5"/>
      <c r="E11" s="4">
        <v>0</v>
      </c>
      <c r="F11" s="5"/>
      <c r="G11" s="4">
        <v>0</v>
      </c>
      <c r="H11" s="5"/>
      <c r="I11" s="4">
        <v>0</v>
      </c>
      <c r="J11" s="5"/>
      <c r="K11" s="4">
        <v>0</v>
      </c>
      <c r="L11" s="5"/>
    </row>
    <row r="12" spans="1:12" ht="18.5" customHeight="1">
      <c r="A12" s="12" t="s">
        <v>15</v>
      </c>
      <c r="B12" s="13">
        <v>44357</v>
      </c>
      <c r="C12" s="4">
        <v>0</v>
      </c>
      <c r="D12" s="5"/>
      <c r="E12" s="4">
        <v>0</v>
      </c>
      <c r="F12" s="5"/>
      <c r="G12" s="4">
        <v>0</v>
      </c>
      <c r="H12" s="5"/>
      <c r="I12" s="4">
        <v>0</v>
      </c>
      <c r="J12" s="5"/>
      <c r="K12" s="4">
        <v>0</v>
      </c>
      <c r="L12" s="5"/>
    </row>
    <row r="13" spans="1:12" ht="18.5" customHeight="1">
      <c r="A13" s="12" t="s">
        <v>16</v>
      </c>
      <c r="B13" s="13">
        <v>44358</v>
      </c>
      <c r="C13" s="4">
        <v>0</v>
      </c>
      <c r="D13" s="5"/>
      <c r="E13" s="4">
        <v>0</v>
      </c>
      <c r="F13" s="5"/>
      <c r="G13" s="4">
        <v>0</v>
      </c>
      <c r="H13" s="5"/>
      <c r="I13" s="4">
        <v>0</v>
      </c>
      <c r="J13" s="5"/>
      <c r="K13" s="4">
        <v>0</v>
      </c>
      <c r="L13" s="5"/>
    </row>
    <row r="14" spans="1:12" ht="18.5" customHeight="1">
      <c r="A14" s="12" t="s">
        <v>17</v>
      </c>
      <c r="B14" s="13">
        <v>44359</v>
      </c>
      <c r="C14" s="4">
        <v>0</v>
      </c>
      <c r="D14" s="5"/>
      <c r="E14" s="4">
        <v>0</v>
      </c>
      <c r="F14" s="5"/>
      <c r="G14" s="4">
        <v>0</v>
      </c>
      <c r="H14" s="5"/>
      <c r="I14" s="4">
        <v>0</v>
      </c>
      <c r="J14" s="5"/>
      <c r="K14" s="4">
        <v>0</v>
      </c>
      <c r="L14" s="5"/>
    </row>
    <row r="15" spans="1:12" ht="18.5" customHeight="1">
      <c r="A15" s="12" t="s">
        <v>18</v>
      </c>
      <c r="B15" s="13">
        <v>44360</v>
      </c>
      <c r="C15" s="4">
        <v>0</v>
      </c>
      <c r="D15" s="5"/>
      <c r="E15" s="4">
        <v>0</v>
      </c>
      <c r="F15" s="5"/>
      <c r="G15" s="4">
        <v>0</v>
      </c>
      <c r="H15" s="5"/>
      <c r="I15" s="4">
        <v>0</v>
      </c>
      <c r="J15" s="5"/>
      <c r="K15" s="4">
        <v>0</v>
      </c>
      <c r="L15" s="5"/>
    </row>
    <row r="16" spans="1:12" ht="18.5" customHeight="1">
      <c r="A16" s="12" t="s">
        <v>19</v>
      </c>
      <c r="B16" s="13">
        <v>44361</v>
      </c>
      <c r="C16" s="4">
        <v>0</v>
      </c>
      <c r="D16" s="5"/>
      <c r="E16" s="4">
        <v>0</v>
      </c>
      <c r="F16" s="5"/>
      <c r="G16" s="4">
        <v>0</v>
      </c>
      <c r="H16" s="5"/>
      <c r="I16" s="4">
        <v>0</v>
      </c>
      <c r="J16" s="5"/>
      <c r="K16" s="4">
        <v>0</v>
      </c>
      <c r="L16" s="5"/>
    </row>
    <row r="17" spans="1:12" ht="18.5" customHeight="1">
      <c r="A17" s="12" t="s">
        <v>20</v>
      </c>
      <c r="B17" s="13">
        <v>44362</v>
      </c>
      <c r="C17" s="4">
        <v>0</v>
      </c>
      <c r="D17" s="5"/>
      <c r="E17" s="4">
        <v>0</v>
      </c>
      <c r="F17" s="5"/>
      <c r="G17" s="4">
        <v>0</v>
      </c>
      <c r="H17" s="5"/>
      <c r="I17" s="4">
        <v>0</v>
      </c>
      <c r="J17" s="5"/>
      <c r="K17" s="4">
        <v>0</v>
      </c>
      <c r="L17" s="5"/>
    </row>
    <row r="18" spans="1:12" ht="18.5" customHeight="1">
      <c r="A18" s="12" t="s">
        <v>21</v>
      </c>
      <c r="B18" s="13">
        <v>44363</v>
      </c>
      <c r="C18" s="4">
        <v>0</v>
      </c>
      <c r="D18" s="5"/>
      <c r="E18" s="4">
        <v>0</v>
      </c>
      <c r="F18" s="5"/>
      <c r="G18" s="4">
        <v>0</v>
      </c>
      <c r="H18" s="5"/>
      <c r="I18" s="4">
        <v>0</v>
      </c>
      <c r="J18" s="5"/>
      <c r="K18" s="4">
        <v>0</v>
      </c>
      <c r="L18" s="5"/>
    </row>
    <row r="19" spans="1:12" ht="18.5" customHeight="1">
      <c r="A19" s="12" t="s">
        <v>22</v>
      </c>
      <c r="B19" s="13">
        <v>44364</v>
      </c>
      <c r="C19" s="4">
        <v>0</v>
      </c>
      <c r="D19" s="5"/>
      <c r="E19" s="4">
        <v>0</v>
      </c>
      <c r="F19" s="5"/>
      <c r="G19" s="4">
        <v>0</v>
      </c>
      <c r="H19" s="5"/>
      <c r="I19" s="4">
        <v>0</v>
      </c>
      <c r="J19" s="5"/>
      <c r="K19" s="4">
        <v>0</v>
      </c>
      <c r="L19" s="5"/>
    </row>
    <row r="20" spans="1:12" ht="18.5" customHeight="1">
      <c r="A20" s="12" t="s">
        <v>23</v>
      </c>
      <c r="B20" s="13">
        <v>44365</v>
      </c>
      <c r="C20" s="4">
        <v>0</v>
      </c>
      <c r="D20" s="5"/>
      <c r="E20" s="4">
        <v>0</v>
      </c>
      <c r="F20" s="5"/>
      <c r="G20" s="4">
        <v>0</v>
      </c>
      <c r="H20" s="5"/>
      <c r="I20" s="4">
        <v>0</v>
      </c>
      <c r="J20" s="5"/>
      <c r="K20" s="4">
        <v>0</v>
      </c>
      <c r="L20" s="5"/>
    </row>
    <row r="21" spans="1:12" ht="18.5" customHeight="1">
      <c r="A21" s="12" t="s">
        <v>24</v>
      </c>
      <c r="B21" s="13">
        <v>44366</v>
      </c>
      <c r="C21" s="4">
        <v>0</v>
      </c>
      <c r="D21" s="5"/>
      <c r="E21" s="4">
        <v>0</v>
      </c>
      <c r="F21" s="5"/>
      <c r="G21" s="4">
        <v>0</v>
      </c>
      <c r="H21" s="5"/>
      <c r="I21" s="4">
        <v>0</v>
      </c>
      <c r="J21" s="5"/>
      <c r="K21" s="4">
        <v>0</v>
      </c>
      <c r="L21" s="5"/>
    </row>
    <row r="22" spans="1:12" ht="18.5" customHeight="1">
      <c r="A22" s="12" t="s">
        <v>25</v>
      </c>
      <c r="B22" s="13">
        <v>44367</v>
      </c>
      <c r="C22" s="4">
        <v>0</v>
      </c>
      <c r="D22" s="5"/>
      <c r="E22" s="4">
        <v>0</v>
      </c>
      <c r="F22" s="5"/>
      <c r="G22" s="4">
        <v>0</v>
      </c>
      <c r="H22" s="5"/>
      <c r="I22" s="4">
        <v>0</v>
      </c>
      <c r="J22" s="5"/>
      <c r="K22" s="4">
        <v>0</v>
      </c>
      <c r="L22" s="5"/>
    </row>
    <row r="23" spans="1:12" ht="18.5" customHeight="1">
      <c r="A23" s="12" t="s">
        <v>26</v>
      </c>
      <c r="B23" s="13">
        <v>44368</v>
      </c>
      <c r="C23" s="4">
        <v>0</v>
      </c>
      <c r="D23" s="5"/>
      <c r="E23" s="4">
        <v>0</v>
      </c>
      <c r="F23" s="5"/>
      <c r="G23" s="4">
        <v>0</v>
      </c>
      <c r="H23" s="5"/>
      <c r="I23" s="4">
        <v>0</v>
      </c>
      <c r="J23" s="5"/>
      <c r="K23" s="4">
        <v>0</v>
      </c>
      <c r="L23" s="5"/>
    </row>
    <row r="24" spans="1:12" ht="18.5" customHeight="1">
      <c r="A24" s="12" t="s">
        <v>27</v>
      </c>
      <c r="B24" s="13">
        <v>44369</v>
      </c>
      <c r="C24" s="4">
        <v>0</v>
      </c>
      <c r="D24" s="5"/>
      <c r="E24" s="4">
        <v>0</v>
      </c>
      <c r="F24" s="5"/>
      <c r="G24" s="4">
        <v>0</v>
      </c>
      <c r="H24" s="5"/>
      <c r="I24" s="4">
        <v>0</v>
      </c>
      <c r="J24" s="5"/>
      <c r="K24" s="4">
        <v>0</v>
      </c>
      <c r="L24" s="5"/>
    </row>
    <row r="25" spans="1:12" ht="18.5" customHeight="1">
      <c r="A25" s="12" t="s">
        <v>28</v>
      </c>
      <c r="B25" s="13">
        <v>44370</v>
      </c>
      <c r="C25" s="4">
        <v>0</v>
      </c>
      <c r="D25" s="5"/>
      <c r="E25" s="4">
        <v>0</v>
      </c>
      <c r="F25" s="5"/>
      <c r="G25" s="4">
        <v>0</v>
      </c>
      <c r="H25" s="5"/>
      <c r="I25" s="4">
        <v>0</v>
      </c>
      <c r="J25" s="5"/>
      <c r="K25" s="4">
        <v>0</v>
      </c>
      <c r="L25" s="5"/>
    </row>
    <row r="26" spans="1:12" ht="18.5" customHeight="1">
      <c r="A26" s="12" t="s">
        <v>29</v>
      </c>
      <c r="B26" s="13">
        <v>44371</v>
      </c>
      <c r="C26" s="4">
        <v>0</v>
      </c>
      <c r="D26" s="5"/>
      <c r="E26" s="4">
        <v>0</v>
      </c>
      <c r="F26" s="5"/>
      <c r="G26" s="4">
        <v>0</v>
      </c>
      <c r="H26" s="5"/>
      <c r="I26" s="4">
        <v>0</v>
      </c>
      <c r="J26" s="5"/>
      <c r="K26" s="4">
        <v>0</v>
      </c>
      <c r="L26" s="5"/>
    </row>
    <row r="27" spans="1:12" ht="18.5" customHeight="1">
      <c r="A27" s="12" t="s">
        <v>30</v>
      </c>
      <c r="B27" s="13">
        <v>44372</v>
      </c>
      <c r="C27" s="4">
        <v>0</v>
      </c>
      <c r="D27" s="5"/>
      <c r="E27" s="4">
        <v>0</v>
      </c>
      <c r="F27" s="5"/>
      <c r="G27" s="4">
        <v>0</v>
      </c>
      <c r="H27" s="5"/>
      <c r="I27" s="4">
        <v>0</v>
      </c>
      <c r="J27" s="5"/>
      <c r="K27" s="4">
        <v>0</v>
      </c>
      <c r="L27" s="5"/>
    </row>
    <row r="28" spans="1:12" ht="18.5" customHeight="1">
      <c r="A28" s="12" t="s">
        <v>31</v>
      </c>
      <c r="B28" s="13">
        <v>44373</v>
      </c>
      <c r="C28" s="4">
        <v>0</v>
      </c>
      <c r="D28" s="5"/>
      <c r="E28" s="4">
        <v>0</v>
      </c>
      <c r="F28" s="5"/>
      <c r="G28" s="4">
        <v>0</v>
      </c>
      <c r="H28" s="5"/>
      <c r="I28" s="4">
        <v>0</v>
      </c>
      <c r="J28" s="5"/>
      <c r="K28" s="4">
        <v>0</v>
      </c>
      <c r="L28" s="5"/>
    </row>
    <row r="29" spans="1:12" ht="18.5" customHeight="1">
      <c r="A29" s="12" t="s">
        <v>32</v>
      </c>
      <c r="B29" s="13">
        <v>44374</v>
      </c>
      <c r="C29" s="4">
        <v>0</v>
      </c>
      <c r="D29" s="5"/>
      <c r="E29" s="4">
        <v>0</v>
      </c>
      <c r="F29" s="5"/>
      <c r="G29" s="4">
        <v>0</v>
      </c>
      <c r="H29" s="5"/>
      <c r="I29" s="4">
        <v>0</v>
      </c>
      <c r="J29" s="5"/>
      <c r="K29" s="4">
        <v>0</v>
      </c>
      <c r="L29" s="5"/>
    </row>
    <row r="30" spans="1:12" ht="18.5" customHeight="1">
      <c r="A30" s="12" t="s">
        <v>33</v>
      </c>
      <c r="B30" s="13">
        <v>44375</v>
      </c>
      <c r="C30" s="4">
        <v>0</v>
      </c>
      <c r="D30" s="5"/>
      <c r="E30" s="4">
        <v>0</v>
      </c>
      <c r="F30" s="5"/>
      <c r="G30" s="4">
        <v>0</v>
      </c>
      <c r="H30" s="5"/>
      <c r="I30" s="4">
        <v>0</v>
      </c>
      <c r="J30" s="5"/>
      <c r="K30" s="4">
        <v>0</v>
      </c>
      <c r="L30" s="5"/>
    </row>
    <row r="31" spans="1:12" ht="18.5" customHeight="1">
      <c r="A31" s="12" t="s">
        <v>34</v>
      </c>
      <c r="B31" s="13">
        <v>44376</v>
      </c>
      <c r="C31" s="4">
        <v>0</v>
      </c>
      <c r="D31" s="5"/>
      <c r="E31" s="4">
        <v>0</v>
      </c>
      <c r="F31" s="5"/>
      <c r="G31" s="4">
        <v>0</v>
      </c>
      <c r="H31" s="5"/>
      <c r="I31" s="4">
        <v>0</v>
      </c>
      <c r="J31" s="5"/>
      <c r="K31" s="4">
        <v>0</v>
      </c>
      <c r="L31" s="5"/>
    </row>
    <row r="32" spans="1:12" ht="18.5" customHeight="1">
      <c r="A32" s="12" t="s">
        <v>35</v>
      </c>
      <c r="B32" s="13">
        <v>44377</v>
      </c>
      <c r="C32" s="4">
        <v>0</v>
      </c>
      <c r="D32" s="5"/>
      <c r="E32" s="4">
        <v>0</v>
      </c>
      <c r="F32" s="5"/>
      <c r="G32" s="4">
        <v>0</v>
      </c>
      <c r="H32" s="5"/>
      <c r="I32" s="4">
        <v>0</v>
      </c>
      <c r="J32" s="5"/>
      <c r="K32" s="4">
        <v>0</v>
      </c>
      <c r="L32" s="5"/>
    </row>
    <row r="33" spans="1:12" ht="18.5" customHeight="1" thickBot="1">
      <c r="A33" s="14" t="s">
        <v>36</v>
      </c>
      <c r="B33" s="7"/>
      <c r="C33" s="6">
        <v>0</v>
      </c>
      <c r="D33" s="7"/>
      <c r="E33" s="6">
        <v>0</v>
      </c>
      <c r="F33" s="7"/>
      <c r="G33" s="6">
        <v>0</v>
      </c>
      <c r="H33" s="7"/>
      <c r="I33" s="6">
        <v>0</v>
      </c>
      <c r="J33" s="7"/>
      <c r="K33" s="6"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/>
      <c r="D38" s="45"/>
      <c r="E38" s="44"/>
      <c r="F38" s="45"/>
      <c r="G38" s="44"/>
      <c r="H38" s="45"/>
      <c r="I38" s="44"/>
      <c r="J38" s="45"/>
      <c r="K38" s="44"/>
      <c r="L38" s="3"/>
    </row>
    <row r="39" spans="1:12" ht="18.5" customHeight="1">
      <c r="A39" s="12" t="s">
        <v>7</v>
      </c>
      <c r="B39" s="16">
        <v>44379</v>
      </c>
      <c r="C39" s="42"/>
      <c r="D39" s="43"/>
      <c r="E39" s="42"/>
      <c r="F39" s="43"/>
      <c r="G39" s="42"/>
      <c r="H39" s="43"/>
      <c r="I39" s="42"/>
      <c r="J39" s="43"/>
      <c r="K39" s="42"/>
      <c r="L39" s="5"/>
    </row>
    <row r="40" spans="1:12" ht="18.5" customHeight="1">
      <c r="A40" s="12" t="s">
        <v>8</v>
      </c>
      <c r="B40" s="16">
        <v>44015</v>
      </c>
      <c r="C40" s="4"/>
      <c r="D40" s="5"/>
      <c r="E40" s="4"/>
      <c r="F40" s="5"/>
      <c r="G40" s="4"/>
      <c r="H40" s="5"/>
      <c r="I40" s="4"/>
      <c r="J40" s="5"/>
      <c r="K40" s="4"/>
      <c r="L40" s="5"/>
    </row>
    <row r="41" spans="1:12" ht="18.5" customHeight="1">
      <c r="A41" s="12" t="s">
        <v>9</v>
      </c>
      <c r="B41" s="16">
        <v>44016</v>
      </c>
      <c r="C41" s="4"/>
      <c r="D41" s="5"/>
      <c r="E41" s="4"/>
      <c r="F41" s="5"/>
      <c r="G41" s="4"/>
      <c r="H41" s="5"/>
      <c r="I41" s="4"/>
      <c r="J41" s="5"/>
      <c r="K41" s="4"/>
      <c r="L41" s="5"/>
    </row>
    <row r="42" spans="1:12" ht="18.5" customHeight="1">
      <c r="A42" s="12" t="s">
        <v>10</v>
      </c>
      <c r="B42" s="16">
        <v>44017</v>
      </c>
      <c r="C42" s="4"/>
      <c r="D42" s="5"/>
      <c r="E42" s="4"/>
      <c r="F42" s="5"/>
      <c r="G42" s="4"/>
      <c r="H42" s="5"/>
      <c r="I42" s="4"/>
      <c r="J42" s="5"/>
      <c r="K42" s="4"/>
      <c r="L42" s="5"/>
    </row>
    <row r="43" spans="1:12" ht="18.5" customHeight="1">
      <c r="A43" s="12" t="s">
        <v>11</v>
      </c>
      <c r="B43" s="16">
        <v>44018</v>
      </c>
      <c r="C43" s="4"/>
      <c r="D43" s="5"/>
      <c r="E43" s="4"/>
      <c r="F43" s="5"/>
      <c r="G43" s="4"/>
      <c r="H43" s="5"/>
      <c r="I43" s="4"/>
      <c r="J43" s="5"/>
      <c r="K43" s="4"/>
      <c r="L43" s="5"/>
    </row>
    <row r="44" spans="1:12" ht="18.5" customHeight="1">
      <c r="A44" s="12" t="s">
        <v>12</v>
      </c>
      <c r="B44" s="16">
        <v>44019</v>
      </c>
      <c r="C44" s="4"/>
      <c r="D44" s="5"/>
      <c r="E44" s="4"/>
      <c r="F44" s="5"/>
      <c r="G44" s="4"/>
      <c r="H44" s="5"/>
      <c r="I44" s="4"/>
      <c r="J44" s="5"/>
      <c r="K44" s="4"/>
      <c r="L44" s="5"/>
    </row>
    <row r="45" spans="1:12" ht="18.5" customHeight="1">
      <c r="A45" s="12" t="s">
        <v>13</v>
      </c>
      <c r="B45" s="16">
        <v>44020</v>
      </c>
      <c r="C45" s="4"/>
      <c r="D45" s="5"/>
      <c r="E45" s="4"/>
      <c r="F45" s="5"/>
      <c r="G45" s="4"/>
      <c r="H45" s="5"/>
      <c r="I45" s="4"/>
      <c r="J45" s="5"/>
      <c r="K45" s="4"/>
      <c r="L45" s="5"/>
    </row>
    <row r="46" spans="1:12" ht="18.5" customHeight="1">
      <c r="A46" s="12" t="s">
        <v>14</v>
      </c>
      <c r="B46" s="16">
        <v>44021</v>
      </c>
      <c r="C46" s="4"/>
      <c r="D46" s="5"/>
      <c r="E46" s="4"/>
      <c r="F46" s="5"/>
      <c r="G46" s="4"/>
      <c r="H46" s="5"/>
      <c r="I46" s="4"/>
      <c r="J46" s="5"/>
      <c r="K46" s="4"/>
      <c r="L46" s="5"/>
    </row>
    <row r="47" spans="1:12" ht="18.5" customHeight="1">
      <c r="A47" s="12" t="s">
        <v>15</v>
      </c>
      <c r="B47" s="16">
        <v>44022</v>
      </c>
      <c r="C47" s="4"/>
      <c r="D47" s="5"/>
      <c r="E47" s="4"/>
      <c r="F47" s="5"/>
      <c r="G47" s="4"/>
      <c r="H47" s="5"/>
      <c r="I47" s="4"/>
      <c r="J47" s="5"/>
      <c r="K47" s="4"/>
      <c r="L47" s="5"/>
    </row>
    <row r="48" spans="1:12" ht="18.5" customHeight="1">
      <c r="A48" s="12" t="s">
        <v>16</v>
      </c>
      <c r="B48" s="16">
        <v>44023</v>
      </c>
      <c r="C48" s="4"/>
      <c r="D48" s="5"/>
      <c r="E48" s="4"/>
      <c r="F48" s="5"/>
      <c r="G48" s="4"/>
      <c r="H48" s="5"/>
      <c r="I48" s="4"/>
      <c r="J48" s="5"/>
      <c r="K48" s="4"/>
      <c r="L48" s="5"/>
    </row>
    <row r="49" spans="1:12" ht="18.5" customHeight="1">
      <c r="A49" s="12" t="s">
        <v>17</v>
      </c>
      <c r="B49" s="16">
        <v>44024</v>
      </c>
      <c r="C49" s="4"/>
      <c r="D49" s="5"/>
      <c r="E49" s="4"/>
      <c r="F49" s="5"/>
      <c r="G49" s="4"/>
      <c r="H49" s="5"/>
      <c r="I49" s="4"/>
      <c r="J49" s="5"/>
      <c r="K49" s="4"/>
      <c r="L49" s="5"/>
    </row>
    <row r="50" spans="1:12" ht="18.5" customHeight="1">
      <c r="A50" s="12" t="s">
        <v>18</v>
      </c>
      <c r="B50" s="16">
        <v>44025</v>
      </c>
      <c r="C50" s="4"/>
      <c r="D50" s="5"/>
      <c r="E50" s="4"/>
      <c r="F50" s="5"/>
      <c r="G50" s="4"/>
      <c r="H50" s="5"/>
      <c r="I50" s="4"/>
      <c r="J50" s="5"/>
      <c r="K50" s="4"/>
      <c r="L50" s="5"/>
    </row>
    <row r="51" spans="1:12" ht="18.5" customHeight="1">
      <c r="A51" s="12" t="s">
        <v>19</v>
      </c>
      <c r="B51" s="16">
        <v>44026</v>
      </c>
      <c r="C51" s="4"/>
      <c r="D51" s="5"/>
      <c r="E51" s="4"/>
      <c r="F51" s="5"/>
      <c r="G51" s="4"/>
      <c r="H51" s="5"/>
      <c r="I51" s="4"/>
      <c r="J51" s="5"/>
      <c r="K51" s="4"/>
      <c r="L51" s="5"/>
    </row>
    <row r="52" spans="1:12" ht="18.5" customHeight="1">
      <c r="A52" s="12" t="s">
        <v>20</v>
      </c>
      <c r="B52" s="16">
        <v>44027</v>
      </c>
      <c r="C52" s="4"/>
      <c r="D52" s="5"/>
      <c r="E52" s="4"/>
      <c r="F52" s="5"/>
      <c r="G52" s="4"/>
      <c r="H52" s="5"/>
      <c r="I52" s="4"/>
      <c r="J52" s="5"/>
      <c r="K52" s="4"/>
      <c r="L52" s="5"/>
    </row>
    <row r="53" spans="1:12" ht="18.5" customHeight="1">
      <c r="A53" s="12" t="s">
        <v>21</v>
      </c>
      <c r="B53" s="16">
        <v>44028</v>
      </c>
      <c r="C53" s="4"/>
      <c r="D53" s="5"/>
      <c r="E53" s="4"/>
      <c r="F53" s="5"/>
      <c r="G53" s="4"/>
      <c r="H53" s="5"/>
      <c r="I53" s="4"/>
      <c r="J53" s="5"/>
      <c r="K53" s="4"/>
      <c r="L53" s="5"/>
    </row>
    <row r="54" spans="1:12" ht="18.5" customHeight="1">
      <c r="A54" s="12" t="s">
        <v>22</v>
      </c>
      <c r="B54" s="16">
        <v>44029</v>
      </c>
      <c r="C54" s="4"/>
      <c r="D54" s="5"/>
      <c r="E54" s="4"/>
      <c r="F54" s="5"/>
      <c r="G54" s="4"/>
      <c r="H54" s="5"/>
      <c r="I54" s="4"/>
      <c r="J54" s="5"/>
      <c r="K54" s="4"/>
      <c r="L54" s="5"/>
    </row>
    <row r="55" spans="1:12" ht="18.5" customHeight="1">
      <c r="A55" s="12" t="s">
        <v>23</v>
      </c>
      <c r="B55" s="16">
        <v>44030</v>
      </c>
      <c r="C55" s="4"/>
      <c r="D55" s="5"/>
      <c r="E55" s="4"/>
      <c r="F55" s="5"/>
      <c r="G55" s="4"/>
      <c r="H55" s="5"/>
      <c r="I55" s="4"/>
      <c r="J55" s="5"/>
      <c r="K55" s="4"/>
      <c r="L55" s="5"/>
    </row>
    <row r="56" spans="1:12" ht="18.5" customHeight="1">
      <c r="A56" s="12" t="s">
        <v>24</v>
      </c>
      <c r="B56" s="16">
        <v>44031</v>
      </c>
      <c r="C56" s="4"/>
      <c r="D56" s="5"/>
      <c r="E56" s="4"/>
      <c r="F56" s="5"/>
      <c r="G56" s="4"/>
      <c r="H56" s="5"/>
      <c r="I56" s="4"/>
      <c r="J56" s="5"/>
      <c r="K56" s="4"/>
      <c r="L56" s="5"/>
    </row>
    <row r="57" spans="1:12" ht="18.5" customHeight="1">
      <c r="A57" s="12" t="s">
        <v>25</v>
      </c>
      <c r="B57" s="16">
        <v>44032</v>
      </c>
      <c r="C57" s="4"/>
      <c r="D57" s="5"/>
      <c r="E57" s="4"/>
      <c r="F57" s="5"/>
      <c r="G57" s="4"/>
      <c r="H57" s="5"/>
      <c r="I57" s="4"/>
      <c r="J57" s="5"/>
      <c r="K57" s="4"/>
      <c r="L57" s="5"/>
    </row>
    <row r="58" spans="1:12" ht="18.5" customHeight="1">
      <c r="A58" s="12" t="s">
        <v>26</v>
      </c>
      <c r="B58" s="16">
        <v>44033</v>
      </c>
      <c r="C58" s="4"/>
      <c r="D58" s="5"/>
      <c r="E58" s="4"/>
      <c r="F58" s="5"/>
      <c r="G58" s="4"/>
      <c r="H58" s="5"/>
      <c r="I58" s="4"/>
      <c r="J58" s="5"/>
      <c r="K58" s="4"/>
      <c r="L58" s="5"/>
    </row>
    <row r="59" spans="1:12" ht="18.5" customHeight="1">
      <c r="A59" s="12" t="s">
        <v>27</v>
      </c>
      <c r="B59" s="16">
        <v>44034</v>
      </c>
      <c r="C59" s="4"/>
      <c r="D59" s="5"/>
      <c r="E59" s="4"/>
      <c r="F59" s="5"/>
      <c r="G59" s="4"/>
      <c r="H59" s="5"/>
      <c r="I59" s="4"/>
      <c r="J59" s="5"/>
      <c r="K59" s="4"/>
      <c r="L59" s="5"/>
    </row>
    <row r="60" spans="1:12" ht="18.5" customHeight="1">
      <c r="A60" s="12" t="s">
        <v>28</v>
      </c>
      <c r="B60" s="16">
        <v>44035</v>
      </c>
      <c r="C60" s="4"/>
      <c r="D60" s="5"/>
      <c r="E60" s="4"/>
      <c r="F60" s="5"/>
      <c r="G60" s="4"/>
      <c r="H60" s="5"/>
      <c r="I60" s="4"/>
      <c r="J60" s="5"/>
      <c r="K60" s="4"/>
      <c r="L60" s="5"/>
    </row>
    <row r="61" spans="1:12" ht="18.5" customHeight="1">
      <c r="A61" s="12" t="s">
        <v>29</v>
      </c>
      <c r="B61" s="16">
        <v>44036</v>
      </c>
      <c r="C61" s="4"/>
      <c r="D61" s="5"/>
      <c r="E61" s="4"/>
      <c r="F61" s="5"/>
      <c r="G61" s="4"/>
      <c r="H61" s="5"/>
      <c r="I61" s="4"/>
      <c r="J61" s="5"/>
      <c r="K61" s="4"/>
      <c r="L61" s="5"/>
    </row>
    <row r="62" spans="1:12" ht="18.5" customHeight="1">
      <c r="A62" s="12" t="s">
        <v>30</v>
      </c>
      <c r="B62" s="16">
        <v>44037</v>
      </c>
      <c r="C62" s="4"/>
      <c r="D62" s="5"/>
      <c r="E62" s="4"/>
      <c r="F62" s="5"/>
      <c r="G62" s="4"/>
      <c r="H62" s="5"/>
      <c r="I62" s="4"/>
      <c r="J62" s="5"/>
      <c r="K62" s="4"/>
      <c r="L62" s="5"/>
    </row>
    <row r="63" spans="1:12" ht="18.5" customHeight="1">
      <c r="A63" s="12" t="s">
        <v>31</v>
      </c>
      <c r="B63" s="16">
        <v>44038</v>
      </c>
      <c r="C63" s="4"/>
      <c r="D63" s="5"/>
      <c r="E63" s="4"/>
      <c r="F63" s="5"/>
      <c r="G63" s="4"/>
      <c r="H63" s="5"/>
      <c r="I63" s="4"/>
      <c r="J63" s="5"/>
      <c r="K63" s="4"/>
      <c r="L63" s="5"/>
    </row>
    <row r="64" spans="1:12" ht="18.5" customHeight="1">
      <c r="A64" s="12" t="s">
        <v>32</v>
      </c>
      <c r="B64" s="16">
        <v>44039</v>
      </c>
      <c r="C64" s="4"/>
      <c r="D64" s="5"/>
      <c r="E64" s="4"/>
      <c r="F64" s="5"/>
      <c r="G64" s="4"/>
      <c r="H64" s="5"/>
      <c r="I64" s="4"/>
      <c r="J64" s="5"/>
      <c r="K64" s="4"/>
      <c r="L64" s="5"/>
    </row>
    <row r="65" spans="1:12" ht="18.5" customHeight="1">
      <c r="A65" s="12" t="s">
        <v>33</v>
      </c>
      <c r="B65" s="16">
        <v>44040</v>
      </c>
      <c r="C65" s="4"/>
      <c r="D65" s="5"/>
      <c r="E65" s="4"/>
      <c r="F65" s="5"/>
      <c r="G65" s="4"/>
      <c r="H65" s="5"/>
      <c r="I65" s="4"/>
      <c r="J65" s="5"/>
      <c r="K65" s="4"/>
      <c r="L65" s="5"/>
    </row>
    <row r="66" spans="1:12" ht="18.5" customHeight="1">
      <c r="A66" s="12" t="s">
        <v>34</v>
      </c>
      <c r="B66" s="16">
        <v>44041</v>
      </c>
      <c r="C66" s="4"/>
      <c r="D66" s="5"/>
      <c r="E66" s="4"/>
      <c r="F66" s="5"/>
      <c r="G66" s="4"/>
      <c r="H66" s="5"/>
      <c r="I66" s="4"/>
      <c r="J66" s="5"/>
      <c r="K66" s="4"/>
      <c r="L66" s="5"/>
    </row>
    <row r="67" spans="1:12" ht="18.5" customHeight="1">
      <c r="A67" s="12" t="s">
        <v>35</v>
      </c>
      <c r="B67" s="16">
        <v>44042</v>
      </c>
      <c r="C67" s="4"/>
      <c r="D67" s="5"/>
      <c r="E67" s="4"/>
      <c r="F67" s="5"/>
      <c r="G67" s="4"/>
      <c r="H67" s="5"/>
      <c r="I67" s="4"/>
      <c r="J67" s="5"/>
      <c r="K67" s="4"/>
      <c r="L67" s="5"/>
    </row>
    <row r="68" spans="1:12" ht="18.5" customHeight="1" thickBot="1">
      <c r="A68" s="14" t="s">
        <v>36</v>
      </c>
      <c r="B68" s="16">
        <v>44043</v>
      </c>
      <c r="C68" s="6"/>
      <c r="D68" s="7"/>
      <c r="E68" s="6"/>
      <c r="F68" s="7"/>
      <c r="G68" s="6"/>
      <c r="H68" s="7"/>
      <c r="I68" s="6"/>
      <c r="J68" s="7"/>
      <c r="K68" s="6"/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0">ABS(F74-F73)</f>
        <v>0</v>
      </c>
      <c r="F74" s="5"/>
      <c r="G74" s="4">
        <f t="shared" ref="G74:G103" si="1">ABS(H74-H73)</f>
        <v>0</v>
      </c>
      <c r="H74" s="5"/>
      <c r="I74" s="4">
        <f t="shared" ref="I74:I103" si="2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3">ABS(D75-D74)</f>
        <v>0</v>
      </c>
      <c r="D75" s="5"/>
      <c r="E75" s="4">
        <f t="shared" si="0"/>
        <v>0</v>
      </c>
      <c r="F75" s="5"/>
      <c r="G75" s="4">
        <f t="shared" si="1"/>
        <v>0</v>
      </c>
      <c r="H75" s="5"/>
      <c r="I75" s="4">
        <f t="shared" si="2"/>
        <v>0</v>
      </c>
      <c r="J75" s="5"/>
      <c r="K75" s="4">
        <f t="shared" ref="K75:K103" si="4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3"/>
        <v>0</v>
      </c>
      <c r="D76" s="5"/>
      <c r="E76" s="4">
        <f t="shared" si="0"/>
        <v>0</v>
      </c>
      <c r="F76" s="5"/>
      <c r="G76" s="4">
        <f t="shared" si="1"/>
        <v>0</v>
      </c>
      <c r="H76" s="5"/>
      <c r="I76" s="4">
        <f t="shared" si="2"/>
        <v>0</v>
      </c>
      <c r="J76" s="5"/>
      <c r="K76" s="4">
        <f t="shared" si="4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3"/>
        <v>0</v>
      </c>
      <c r="D77" s="5"/>
      <c r="E77" s="4">
        <f t="shared" si="0"/>
        <v>0</v>
      </c>
      <c r="F77" s="5"/>
      <c r="G77" s="4">
        <f t="shared" si="1"/>
        <v>0</v>
      </c>
      <c r="H77" s="5"/>
      <c r="I77" s="4">
        <f t="shared" si="2"/>
        <v>0</v>
      </c>
      <c r="J77" s="5"/>
      <c r="K77" s="4">
        <f t="shared" si="4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3"/>
        <v>0</v>
      </c>
      <c r="D78" s="5"/>
      <c r="E78" s="4">
        <f t="shared" si="0"/>
        <v>0</v>
      </c>
      <c r="F78" s="5"/>
      <c r="G78" s="4">
        <f t="shared" si="1"/>
        <v>0</v>
      </c>
      <c r="H78" s="5"/>
      <c r="I78" s="4">
        <f t="shared" si="2"/>
        <v>0</v>
      </c>
      <c r="J78" s="5"/>
      <c r="K78" s="4">
        <f t="shared" si="4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3"/>
        <v>0</v>
      </c>
      <c r="D79" s="5"/>
      <c r="E79" s="4">
        <f t="shared" si="0"/>
        <v>0</v>
      </c>
      <c r="F79" s="5"/>
      <c r="G79" s="4">
        <f t="shared" si="1"/>
        <v>0</v>
      </c>
      <c r="H79" s="5"/>
      <c r="I79" s="4">
        <f t="shared" si="2"/>
        <v>0</v>
      </c>
      <c r="J79" s="5"/>
      <c r="K79" s="4">
        <f t="shared" si="4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3"/>
        <v>0</v>
      </c>
      <c r="D80" s="5"/>
      <c r="E80" s="4">
        <f t="shared" si="0"/>
        <v>0</v>
      </c>
      <c r="F80" s="5"/>
      <c r="G80" s="4">
        <f t="shared" si="1"/>
        <v>0</v>
      </c>
      <c r="H80" s="5"/>
      <c r="I80" s="4">
        <f t="shared" si="2"/>
        <v>0</v>
      </c>
      <c r="J80" s="5"/>
      <c r="K80" s="4">
        <f t="shared" si="4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3"/>
        <v>0</v>
      </c>
      <c r="D81" s="5"/>
      <c r="E81" s="4">
        <f t="shared" si="0"/>
        <v>0</v>
      </c>
      <c r="F81" s="5"/>
      <c r="G81" s="4">
        <f t="shared" si="1"/>
        <v>0</v>
      </c>
      <c r="H81" s="5"/>
      <c r="I81" s="4">
        <f t="shared" si="2"/>
        <v>0</v>
      </c>
      <c r="J81" s="5"/>
      <c r="K81" s="4">
        <f t="shared" si="4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3"/>
        <v>0</v>
      </c>
      <c r="D82" s="5"/>
      <c r="E82" s="4">
        <f t="shared" si="0"/>
        <v>0</v>
      </c>
      <c r="F82" s="5"/>
      <c r="G82" s="4">
        <f t="shared" si="1"/>
        <v>0</v>
      </c>
      <c r="H82" s="5"/>
      <c r="I82" s="4">
        <f t="shared" si="2"/>
        <v>0</v>
      </c>
      <c r="J82" s="5"/>
      <c r="K82" s="4">
        <f t="shared" si="4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3"/>
        <v>0</v>
      </c>
      <c r="D83" s="5"/>
      <c r="E83" s="4">
        <f t="shared" si="0"/>
        <v>0</v>
      </c>
      <c r="F83" s="5"/>
      <c r="G83" s="4">
        <f t="shared" si="1"/>
        <v>0</v>
      </c>
      <c r="H83" s="5"/>
      <c r="I83" s="4">
        <f t="shared" si="2"/>
        <v>0</v>
      </c>
      <c r="J83" s="5"/>
      <c r="K83" s="4">
        <f t="shared" si="4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3"/>
        <v>0</v>
      </c>
      <c r="D84" s="5"/>
      <c r="E84" s="4">
        <f t="shared" si="0"/>
        <v>0</v>
      </c>
      <c r="F84" s="5"/>
      <c r="G84" s="4">
        <f t="shared" si="1"/>
        <v>0</v>
      </c>
      <c r="H84" s="5"/>
      <c r="I84" s="4">
        <f t="shared" si="2"/>
        <v>0</v>
      </c>
      <c r="J84" s="5"/>
      <c r="K84" s="4">
        <f t="shared" si="4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3"/>
        <v>0</v>
      </c>
      <c r="D85" s="5"/>
      <c r="E85" s="4">
        <f t="shared" si="0"/>
        <v>0</v>
      </c>
      <c r="F85" s="5"/>
      <c r="G85" s="4">
        <f t="shared" si="1"/>
        <v>0</v>
      </c>
      <c r="H85" s="5"/>
      <c r="I85" s="4">
        <f t="shared" si="2"/>
        <v>0</v>
      </c>
      <c r="J85" s="5"/>
      <c r="K85" s="4">
        <f t="shared" si="4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3"/>
        <v>0</v>
      </c>
      <c r="D86" s="5"/>
      <c r="E86" s="4">
        <f t="shared" si="0"/>
        <v>0</v>
      </c>
      <c r="F86" s="5"/>
      <c r="G86" s="4">
        <f t="shared" si="1"/>
        <v>0</v>
      </c>
      <c r="H86" s="5"/>
      <c r="I86" s="4">
        <f>(J86-J85)</f>
        <v>0</v>
      </c>
      <c r="J86" s="5"/>
      <c r="K86" s="4">
        <f t="shared" si="4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3"/>
        <v>0</v>
      </c>
      <c r="D87" s="5"/>
      <c r="E87" s="4">
        <f t="shared" si="0"/>
        <v>0</v>
      </c>
      <c r="F87" s="5"/>
      <c r="G87" s="4">
        <f t="shared" si="1"/>
        <v>0</v>
      </c>
      <c r="H87" s="5"/>
      <c r="I87" s="4">
        <f t="shared" si="2"/>
        <v>0</v>
      </c>
      <c r="J87" s="5"/>
      <c r="K87" s="4">
        <f t="shared" si="4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3"/>
        <v>0</v>
      </c>
      <c r="D88" s="5"/>
      <c r="E88" s="4">
        <f t="shared" si="0"/>
        <v>0</v>
      </c>
      <c r="F88" s="5"/>
      <c r="G88" s="4">
        <f t="shared" si="1"/>
        <v>0</v>
      </c>
      <c r="H88" s="5"/>
      <c r="I88" s="4">
        <f t="shared" si="2"/>
        <v>0</v>
      </c>
      <c r="J88" s="5"/>
      <c r="K88" s="4">
        <f t="shared" si="4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3"/>
        <v>0</v>
      </c>
      <c r="D89" s="5"/>
      <c r="E89" s="4">
        <f t="shared" si="0"/>
        <v>0</v>
      </c>
      <c r="F89" s="5"/>
      <c r="G89" s="4">
        <f t="shared" si="1"/>
        <v>0</v>
      </c>
      <c r="H89" s="5"/>
      <c r="I89" s="4">
        <f t="shared" si="2"/>
        <v>0</v>
      </c>
      <c r="J89" s="5"/>
      <c r="K89" s="4">
        <f t="shared" si="4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3"/>
        <v>0</v>
      </c>
      <c r="D90" s="5"/>
      <c r="E90" s="4">
        <f t="shared" si="0"/>
        <v>0</v>
      </c>
      <c r="F90" s="5"/>
      <c r="G90" s="4">
        <f t="shared" si="1"/>
        <v>0</v>
      </c>
      <c r="H90" s="5"/>
      <c r="I90" s="4">
        <f t="shared" si="2"/>
        <v>0</v>
      </c>
      <c r="J90" s="5"/>
      <c r="K90" s="4">
        <f t="shared" si="4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3"/>
        <v>0</v>
      </c>
      <c r="D91" s="5"/>
      <c r="E91" s="4">
        <f t="shared" si="0"/>
        <v>0</v>
      </c>
      <c r="F91" s="5"/>
      <c r="G91" s="4">
        <f t="shared" si="1"/>
        <v>0</v>
      </c>
      <c r="H91" s="5"/>
      <c r="I91" s="4">
        <f t="shared" si="2"/>
        <v>0</v>
      </c>
      <c r="J91" s="5"/>
      <c r="K91" s="4">
        <f t="shared" si="4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3"/>
        <v>0</v>
      </c>
      <c r="D92" s="5"/>
      <c r="E92" s="4">
        <f t="shared" si="0"/>
        <v>0</v>
      </c>
      <c r="F92" s="5"/>
      <c r="G92" s="4">
        <f t="shared" si="1"/>
        <v>0</v>
      </c>
      <c r="H92" s="5"/>
      <c r="I92" s="4">
        <f t="shared" si="2"/>
        <v>0</v>
      </c>
      <c r="J92" s="5"/>
      <c r="K92" s="4">
        <f t="shared" si="4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3"/>
        <v>0</v>
      </c>
      <c r="D93" s="5"/>
      <c r="E93" s="4">
        <f t="shared" si="0"/>
        <v>0</v>
      </c>
      <c r="F93" s="5"/>
      <c r="G93" s="4">
        <f t="shared" si="1"/>
        <v>0</v>
      </c>
      <c r="H93" s="5"/>
      <c r="I93" s="4">
        <f t="shared" si="2"/>
        <v>0</v>
      </c>
      <c r="J93" s="5"/>
      <c r="K93" s="4">
        <f t="shared" si="4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3"/>
        <v>0</v>
      </c>
      <c r="D94" s="5"/>
      <c r="E94" s="4">
        <f t="shared" si="0"/>
        <v>0</v>
      </c>
      <c r="F94" s="5"/>
      <c r="G94" s="4">
        <f t="shared" si="1"/>
        <v>0</v>
      </c>
      <c r="H94" s="5"/>
      <c r="I94" s="4">
        <f t="shared" si="2"/>
        <v>0</v>
      </c>
      <c r="J94" s="5"/>
      <c r="K94" s="4">
        <f t="shared" si="4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3"/>
        <v>0</v>
      </c>
      <c r="D95" s="5"/>
      <c r="E95" s="4">
        <f t="shared" si="0"/>
        <v>0</v>
      </c>
      <c r="F95" s="5"/>
      <c r="G95" s="4">
        <f t="shared" si="1"/>
        <v>0</v>
      </c>
      <c r="H95" s="5"/>
      <c r="I95" s="4">
        <f t="shared" si="2"/>
        <v>0</v>
      </c>
      <c r="J95" s="5"/>
      <c r="K95" s="4">
        <f t="shared" si="4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3"/>
        <v>0</v>
      </c>
      <c r="D96" s="5"/>
      <c r="E96" s="4">
        <f t="shared" si="0"/>
        <v>0</v>
      </c>
      <c r="F96" s="5"/>
      <c r="G96" s="4">
        <f t="shared" si="1"/>
        <v>0</v>
      </c>
      <c r="H96" s="5"/>
      <c r="I96" s="4">
        <f t="shared" si="2"/>
        <v>0</v>
      </c>
      <c r="J96" s="5"/>
      <c r="K96" s="4">
        <f t="shared" si="4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3"/>
        <v>0</v>
      </c>
      <c r="D97" s="5"/>
      <c r="E97" s="4">
        <f t="shared" si="0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4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3"/>
        <v>0</v>
      </c>
      <c r="D98" s="5"/>
      <c r="E98" s="4">
        <f t="shared" si="0"/>
        <v>0</v>
      </c>
      <c r="F98" s="5"/>
      <c r="G98" s="4">
        <f t="shared" si="1"/>
        <v>0</v>
      </c>
      <c r="H98" s="5"/>
      <c r="I98" s="4">
        <f t="shared" si="2"/>
        <v>0</v>
      </c>
      <c r="J98" s="5"/>
      <c r="K98" s="4">
        <f t="shared" si="4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3"/>
        <v>0</v>
      </c>
      <c r="D99" s="5"/>
      <c r="E99" s="4">
        <f t="shared" si="0"/>
        <v>0</v>
      </c>
      <c r="F99" s="5"/>
      <c r="G99" s="4">
        <f t="shared" si="1"/>
        <v>0</v>
      </c>
      <c r="H99" s="5"/>
      <c r="I99" s="4">
        <f t="shared" si="2"/>
        <v>0</v>
      </c>
      <c r="J99" s="5"/>
      <c r="K99" s="4">
        <f t="shared" si="4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3"/>
        <v>0</v>
      </c>
      <c r="D100" s="5"/>
      <c r="E100" s="4">
        <f t="shared" si="0"/>
        <v>0</v>
      </c>
      <c r="F100" s="5"/>
      <c r="G100" s="4">
        <f t="shared" si="1"/>
        <v>0</v>
      </c>
      <c r="H100" s="5"/>
      <c r="I100" s="4">
        <f t="shared" si="2"/>
        <v>0</v>
      </c>
      <c r="J100" s="5"/>
      <c r="K100" s="4">
        <f t="shared" si="4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3"/>
        <v>0</v>
      </c>
      <c r="D101" s="5"/>
      <c r="E101" s="4">
        <f t="shared" si="0"/>
        <v>0</v>
      </c>
      <c r="F101" s="5"/>
      <c r="G101" s="4">
        <f t="shared" si="1"/>
        <v>0</v>
      </c>
      <c r="H101" s="5"/>
      <c r="I101" s="4">
        <f t="shared" si="2"/>
        <v>0</v>
      </c>
      <c r="J101" s="5"/>
      <c r="K101" s="4">
        <f t="shared" si="4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3"/>
        <v>0</v>
      </c>
      <c r="D102" s="5"/>
      <c r="E102" s="4">
        <f t="shared" si="0"/>
        <v>0</v>
      </c>
      <c r="F102" s="5"/>
      <c r="G102" s="4">
        <f t="shared" si="1"/>
        <v>0</v>
      </c>
      <c r="H102" s="5"/>
      <c r="I102" s="4">
        <f t="shared" si="2"/>
        <v>0</v>
      </c>
      <c r="J102" s="5"/>
      <c r="K102" s="4">
        <f t="shared" si="4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3"/>
        <v>0</v>
      </c>
      <c r="D103" s="7"/>
      <c r="E103" s="6">
        <f t="shared" si="0"/>
        <v>0</v>
      </c>
      <c r="F103" s="7"/>
      <c r="G103" s="6">
        <f t="shared" si="1"/>
        <v>0</v>
      </c>
      <c r="H103" s="7"/>
      <c r="I103" s="6">
        <f t="shared" si="2"/>
        <v>0</v>
      </c>
      <c r="J103" s="7"/>
      <c r="K103" s="6">
        <f t="shared" si="4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shinsaibashi_6">
                <anchor moveWithCells="1" sizeWithCells="1">
                  <from>
                    <xdr:col>13</xdr:col>
                    <xdr:colOff>0</xdr:colOff>
                    <xdr:row>3</xdr:row>
                    <xdr:rowOff>228600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Module1.clear">
                <anchor moveWithCells="1" sizeWithCells="1">
                  <from>
                    <xdr:col>13</xdr:col>
                    <xdr:colOff>12700</xdr:colOff>
                    <xdr:row>8</xdr:row>
                    <xdr:rowOff>215900</xdr:rowOff>
                  </from>
                  <to>
                    <xdr:col>16</xdr:col>
                    <xdr:colOff>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日計7月版">
                <anchor moveWithCells="1" sizeWithCells="1">
                  <from>
                    <xdr:col>12</xdr:col>
                    <xdr:colOff>660400</xdr:colOff>
                    <xdr:row>38</xdr:row>
                    <xdr:rowOff>228600</xdr:rowOff>
                  </from>
                  <to>
                    <xdr:col>16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Module2.clear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16</xdr:col>
                    <xdr:colOff>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日計8月版">
                <anchor moveWithCells="1" sizeWithCells="1">
                  <from>
                    <xdr:col>13</xdr:col>
                    <xdr:colOff>152400</xdr:colOff>
                    <xdr:row>72</xdr:row>
                    <xdr:rowOff>50800</xdr:rowOff>
                  </from>
                  <to>
                    <xdr:col>16</xdr:col>
                    <xdr:colOff>88900</xdr:colOff>
                    <xdr:row>75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Module3.clear">
                <anchor moveWithCells="1" sizeWithCells="1">
                  <from>
                    <xdr:col>13</xdr:col>
                    <xdr:colOff>114300</xdr:colOff>
                    <xdr:row>76</xdr:row>
                    <xdr:rowOff>215900</xdr:rowOff>
                  </from>
                  <to>
                    <xdr:col>16</xdr:col>
                    <xdr:colOff>50800</xdr:colOff>
                    <xdr:row>79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8"/>
  <sheetViews>
    <sheetView zoomScale="90" zoomScaleNormal="90" workbookViewId="0">
      <selection activeCell="P35" sqref="P35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4" spans="1:12" ht="16" customHeight="1">
      <c r="A34" s="51"/>
      <c r="B34" s="52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16" customHeight="1"/>
    <row r="36" spans="1:12" ht="18.5" customHeight="1" thickBot="1">
      <c r="A36" s="8">
        <v>6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43983</v>
      </c>
      <c r="C38" s="2">
        <f>ABS(D37-D38)</f>
        <v>0</v>
      </c>
      <c r="D38" s="3"/>
      <c r="E38" s="2">
        <f>ABS(F38-F37)</f>
        <v>0</v>
      </c>
      <c r="F38" s="3"/>
      <c r="G38" s="2">
        <f>ABS(H38-H37)</f>
        <v>0</v>
      </c>
      <c r="H38" s="3"/>
      <c r="I38" s="2">
        <f>ABS(J38-J37)</f>
        <v>0</v>
      </c>
      <c r="J38" s="3"/>
      <c r="K38" s="2">
        <f>ABS(L38-L37)</f>
        <v>0</v>
      </c>
      <c r="L38" s="3"/>
    </row>
    <row r="39" spans="1:12" ht="18.5" customHeight="1">
      <c r="A39" s="12" t="s">
        <v>7</v>
      </c>
      <c r="B39" s="13">
        <v>43984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3">
        <v>43985</v>
      </c>
      <c r="C40" s="4">
        <f t="shared" ref="C40:E55" si="5">ABS(D40-D39)</f>
        <v>0</v>
      </c>
      <c r="D40" s="5"/>
      <c r="E40" s="4">
        <f t="shared" si="5"/>
        <v>0</v>
      </c>
      <c r="F40" s="5"/>
      <c r="G40" s="4">
        <f t="shared" ref="G40:I55" si="6">ABS(H40-H39)</f>
        <v>0</v>
      </c>
      <c r="H40" s="5"/>
      <c r="I40" s="4">
        <f t="shared" si="6"/>
        <v>0</v>
      </c>
      <c r="J40" s="5"/>
      <c r="K40" s="4">
        <f t="shared" ref="K40:K68" si="7">ABS(L40-L39)</f>
        <v>0</v>
      </c>
      <c r="L40" s="5"/>
    </row>
    <row r="41" spans="1:12" ht="18.5" customHeight="1">
      <c r="A41" s="12" t="s">
        <v>9</v>
      </c>
      <c r="B41" s="13">
        <v>43986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10</v>
      </c>
      <c r="B42" s="13">
        <v>43987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11</v>
      </c>
      <c r="B43" s="13">
        <v>43988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12</v>
      </c>
      <c r="B44" s="13">
        <v>43989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13</v>
      </c>
      <c r="B45" s="13">
        <v>43990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14</v>
      </c>
      <c r="B46" s="13">
        <v>43991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15</v>
      </c>
      <c r="B47" s="13">
        <v>43992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16</v>
      </c>
      <c r="B48" s="13">
        <v>43993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17</v>
      </c>
      <c r="B49" s="13">
        <v>43994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18</v>
      </c>
      <c r="B50" s="13">
        <v>43995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19</v>
      </c>
      <c r="B51" s="13">
        <v>43996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20</v>
      </c>
      <c r="B52" s="13">
        <v>43997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21</v>
      </c>
      <c r="B53" s="13">
        <v>43998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22</v>
      </c>
      <c r="B54" s="13">
        <v>43999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23</v>
      </c>
      <c r="B55" s="13">
        <v>44000</v>
      </c>
      <c r="C55" s="4">
        <f t="shared" si="5"/>
        <v>0</v>
      </c>
      <c r="D55" s="5"/>
      <c r="E55" s="4">
        <f t="shared" si="5"/>
        <v>0</v>
      </c>
      <c r="F55" s="5"/>
      <c r="G55" s="4">
        <f t="shared" si="6"/>
        <v>0</v>
      </c>
      <c r="H55" s="5"/>
      <c r="I55" s="4">
        <f t="shared" si="6"/>
        <v>0</v>
      </c>
      <c r="J55" s="5"/>
      <c r="K55" s="4">
        <f t="shared" si="7"/>
        <v>0</v>
      </c>
      <c r="L55" s="5"/>
    </row>
    <row r="56" spans="1:12" ht="18.5" customHeight="1">
      <c r="A56" s="12" t="s">
        <v>24</v>
      </c>
      <c r="B56" s="13">
        <v>44001</v>
      </c>
      <c r="C56" s="4">
        <f t="shared" ref="C56:E68" si="8">ABS(D56-D55)</f>
        <v>0</v>
      </c>
      <c r="D56" s="5"/>
      <c r="E56" s="4">
        <f t="shared" si="8"/>
        <v>0</v>
      </c>
      <c r="F56" s="5"/>
      <c r="G56" s="4">
        <f t="shared" ref="G56:I68" si="9">ABS(H56-H55)</f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25</v>
      </c>
      <c r="B57" s="13">
        <v>44002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26</v>
      </c>
      <c r="B58" s="13">
        <v>44003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27</v>
      </c>
      <c r="B59" s="13">
        <v>44004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28</v>
      </c>
      <c r="B60" s="13">
        <v>44005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29</v>
      </c>
      <c r="B61" s="13">
        <v>44006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30</v>
      </c>
      <c r="B62" s="13">
        <v>44007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31</v>
      </c>
      <c r="B63" s="13">
        <v>44008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32</v>
      </c>
      <c r="B64" s="13">
        <v>44009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33</v>
      </c>
      <c r="B65" s="13">
        <v>44010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34</v>
      </c>
      <c r="B66" s="13">
        <v>44011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>
      <c r="A67" s="12" t="s">
        <v>35</v>
      </c>
      <c r="B67" s="13">
        <v>44012</v>
      </c>
      <c r="C67" s="4">
        <f t="shared" si="8"/>
        <v>0</v>
      </c>
      <c r="D67" s="5"/>
      <c r="E67" s="4">
        <f t="shared" si="8"/>
        <v>0</v>
      </c>
      <c r="F67" s="5"/>
      <c r="G67" s="4">
        <f t="shared" si="9"/>
        <v>0</v>
      </c>
      <c r="H67" s="5"/>
      <c r="I67" s="4">
        <f t="shared" si="9"/>
        <v>0</v>
      </c>
      <c r="J67" s="5"/>
      <c r="K67" s="4">
        <f t="shared" si="7"/>
        <v>0</v>
      </c>
      <c r="L67" s="5"/>
    </row>
    <row r="68" spans="1:12" ht="18.5" customHeight="1" thickBot="1">
      <c r="A68" s="14" t="s">
        <v>36</v>
      </c>
      <c r="B68" s="7"/>
      <c r="C68" s="6">
        <f t="shared" si="8"/>
        <v>0</v>
      </c>
      <c r="D68" s="7"/>
      <c r="E68" s="6">
        <f t="shared" si="8"/>
        <v>0</v>
      </c>
      <c r="F68" s="7"/>
      <c r="G68" s="6">
        <f t="shared" si="9"/>
        <v>0</v>
      </c>
      <c r="H68" s="7"/>
      <c r="I68" s="6">
        <f t="shared" si="9"/>
        <v>0</v>
      </c>
      <c r="J68" s="7"/>
      <c r="K68" s="6">
        <f t="shared" si="7"/>
        <v>0</v>
      </c>
      <c r="L68" s="7"/>
    </row>
    <row r="71" spans="1:12" ht="18.5" customHeight="1" thickBot="1">
      <c r="A71" s="8">
        <v>7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 thickBot="1">
      <c r="A73" s="15" t="s">
        <v>6</v>
      </c>
      <c r="B73" s="16">
        <v>44013</v>
      </c>
      <c r="C73" s="6">
        <f t="shared" ref="C73:K73" si="10">ABS(D73-D72)</f>
        <v>0</v>
      </c>
      <c r="D73" s="3"/>
      <c r="E73" s="6">
        <f t="shared" si="10"/>
        <v>0</v>
      </c>
      <c r="F73" s="3"/>
      <c r="G73" s="6">
        <f t="shared" si="10"/>
        <v>0</v>
      </c>
      <c r="H73" s="3"/>
      <c r="I73" s="6">
        <f t="shared" si="10"/>
        <v>0</v>
      </c>
      <c r="J73" s="3"/>
      <c r="K73" s="6">
        <f t="shared" si="10"/>
        <v>0</v>
      </c>
      <c r="L73" s="3"/>
    </row>
    <row r="74" spans="1:12" ht="18.5" customHeight="1">
      <c r="A74" s="12" t="s">
        <v>7</v>
      </c>
      <c r="B74" s="16">
        <v>44014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44015</v>
      </c>
      <c r="C75" s="4">
        <f t="shared" ref="C75:C103" si="11">ABS(D75-D74)</f>
        <v>0</v>
      </c>
      <c r="D75" s="5"/>
      <c r="E75" s="4">
        <f t="shared" ref="E75:E103" si="12">ABS(F75-F74)</f>
        <v>0</v>
      </c>
      <c r="F75" s="5"/>
      <c r="G75" s="4">
        <f t="shared" ref="G75:G103" si="13">ABS(H75-H74)</f>
        <v>0</v>
      </c>
      <c r="H75" s="5"/>
      <c r="I75" s="4">
        <f t="shared" ref="I75:I103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44016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>ABS(J76-J75)</f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44017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44018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44019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44020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44021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44022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44023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44024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44025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44026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44027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44028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44029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44030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44031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44032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44033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44034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44035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44036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44037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44038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44039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44040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44041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44042</v>
      </c>
      <c r="C102" s="4">
        <f t="shared" si="11"/>
        <v>0</v>
      </c>
      <c r="D102" s="5"/>
      <c r="E102" s="4">
        <f t="shared" si="12"/>
        <v>0</v>
      </c>
      <c r="F102" s="5"/>
      <c r="G102" s="4">
        <f t="shared" si="13"/>
        <v>0</v>
      </c>
      <c r="H102" s="5"/>
      <c r="I102" s="4">
        <f t="shared" si="14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44043</v>
      </c>
      <c r="C103" s="6">
        <f t="shared" si="11"/>
        <v>0</v>
      </c>
      <c r="D103" s="7"/>
      <c r="E103" s="6">
        <f t="shared" si="12"/>
        <v>0</v>
      </c>
      <c r="F103" s="7"/>
      <c r="G103" s="6">
        <f t="shared" si="13"/>
        <v>0</v>
      </c>
      <c r="H103" s="7"/>
      <c r="I103" s="6">
        <f t="shared" si="14"/>
        <v>0</v>
      </c>
      <c r="J103" s="7"/>
      <c r="K103" s="6">
        <f t="shared" si="15"/>
        <v>0</v>
      </c>
      <c r="L103" s="7"/>
    </row>
    <row r="106" spans="1:12" ht="18.5" customHeight="1" thickBot="1">
      <c r="A106" s="8">
        <v>8</v>
      </c>
      <c r="B106" s="1" t="s">
        <v>37</v>
      </c>
    </row>
    <row r="107" spans="1:12" ht="18.5" customHeight="1" thickBot="1">
      <c r="A107" s="9"/>
      <c r="B107" s="10"/>
      <c r="C107" s="17" t="s">
        <v>69</v>
      </c>
      <c r="D107" s="10"/>
      <c r="E107" s="11" t="s">
        <v>70</v>
      </c>
      <c r="F107" s="18"/>
      <c r="G107" s="17" t="s">
        <v>71</v>
      </c>
      <c r="H107" s="10"/>
      <c r="I107" s="17" t="s">
        <v>72</v>
      </c>
      <c r="J107" s="10"/>
      <c r="K107" s="11" t="s">
        <v>73</v>
      </c>
      <c r="L107" s="10"/>
    </row>
    <row r="108" spans="1:12" ht="18.5" customHeight="1">
      <c r="A108" s="15" t="s">
        <v>6</v>
      </c>
      <c r="B108" s="16">
        <v>44044</v>
      </c>
      <c r="C108" s="2">
        <f>ABS(D108-D107)</f>
        <v>0</v>
      </c>
      <c r="D108" s="3"/>
      <c r="E108" s="2">
        <f>ABS(F108-F107)</f>
        <v>0</v>
      </c>
      <c r="F108" s="3"/>
      <c r="G108" s="2">
        <f>ABS(H108-H107)</f>
        <v>0</v>
      </c>
      <c r="H108" s="3"/>
      <c r="I108" s="2">
        <f>ABS(J108-J107)</f>
        <v>0</v>
      </c>
      <c r="J108" s="3"/>
      <c r="K108" s="2">
        <f>ABS(L108-L107)</f>
        <v>0</v>
      </c>
      <c r="L108" s="3"/>
    </row>
    <row r="109" spans="1:12" ht="18.5" customHeight="1">
      <c r="A109" s="12" t="s">
        <v>7</v>
      </c>
      <c r="B109" s="16">
        <v>44045</v>
      </c>
      <c r="C109" s="4">
        <f>ABS(D109-D108)</f>
        <v>0</v>
      </c>
      <c r="D109" s="5"/>
      <c r="E109" s="4">
        <f>ABS(F109-F108)</f>
        <v>0</v>
      </c>
      <c r="F109" s="5"/>
      <c r="G109" s="4">
        <f>ABS(H109-H108)</f>
        <v>0</v>
      </c>
      <c r="H109" s="5"/>
      <c r="I109" s="4">
        <f>ABS(J109-J108)</f>
        <v>0</v>
      </c>
      <c r="J109" s="5"/>
      <c r="K109" s="4">
        <f>ABS(L109-L108)</f>
        <v>0</v>
      </c>
      <c r="L109" s="5"/>
    </row>
    <row r="110" spans="1:12" ht="18.5" customHeight="1">
      <c r="A110" s="12" t="s">
        <v>8</v>
      </c>
      <c r="B110" s="16">
        <v>44046</v>
      </c>
      <c r="C110" s="4">
        <f t="shared" ref="C110:C125" si="16">ABS(D110-D109)</f>
        <v>0</v>
      </c>
      <c r="D110" s="5"/>
      <c r="E110" s="4">
        <f t="shared" ref="E110:E125" si="17">ABS(F110-F109)</f>
        <v>0</v>
      </c>
      <c r="F110" s="5"/>
      <c r="G110" s="4">
        <f t="shared" ref="G110:G125" si="18">ABS(H110-H109)</f>
        <v>0</v>
      </c>
      <c r="H110" s="5"/>
      <c r="I110" s="4">
        <f t="shared" ref="I110:I125" si="19">ABS(J110-J109)</f>
        <v>0</v>
      </c>
      <c r="J110" s="5"/>
      <c r="K110" s="4">
        <f t="shared" ref="K110:K138" si="20">ABS(L110-L109)</f>
        <v>0</v>
      </c>
      <c r="L110" s="5"/>
    </row>
    <row r="111" spans="1:12" ht="18.5" customHeight="1">
      <c r="A111" s="12" t="s">
        <v>9</v>
      </c>
      <c r="B111" s="16">
        <v>44047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10</v>
      </c>
      <c r="B112" s="16">
        <v>44048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11</v>
      </c>
      <c r="B113" s="16">
        <v>44049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12</v>
      </c>
      <c r="B114" s="16">
        <v>44050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13</v>
      </c>
      <c r="B115" s="16">
        <v>44051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14</v>
      </c>
      <c r="B116" s="16">
        <v>44052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15</v>
      </c>
      <c r="B117" s="16">
        <v>44053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16</v>
      </c>
      <c r="B118" s="16">
        <v>44054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17</v>
      </c>
      <c r="B119" s="16">
        <v>44055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18</v>
      </c>
      <c r="B120" s="16">
        <v>44056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19</v>
      </c>
      <c r="B121" s="16">
        <v>44057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20</v>
      </c>
      <c r="B122" s="16">
        <v>44058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21</v>
      </c>
      <c r="B123" s="16">
        <v>44059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22</v>
      </c>
      <c r="B124" s="16">
        <v>44060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23</v>
      </c>
      <c r="B125" s="16">
        <v>44061</v>
      </c>
      <c r="C125" s="4">
        <f t="shared" si="16"/>
        <v>0</v>
      </c>
      <c r="D125" s="5"/>
      <c r="E125" s="4">
        <f t="shared" si="17"/>
        <v>0</v>
      </c>
      <c r="F125" s="5"/>
      <c r="G125" s="4">
        <f t="shared" si="18"/>
        <v>0</v>
      </c>
      <c r="H125" s="5"/>
      <c r="I125" s="4">
        <f t="shared" si="19"/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24</v>
      </c>
      <c r="B126" s="16">
        <v>44062</v>
      </c>
      <c r="C126" s="4">
        <f t="shared" ref="C126:C138" si="21">ABS(D126-D125)</f>
        <v>0</v>
      </c>
      <c r="D126" s="5"/>
      <c r="E126" s="4">
        <f t="shared" ref="E126:E138" si="22">ABS(F126-F125)</f>
        <v>0</v>
      </c>
      <c r="F126" s="5"/>
      <c r="G126" s="4">
        <f t="shared" ref="G126:G138" si="23">ABS(H126-H125)</f>
        <v>0</v>
      </c>
      <c r="H126" s="5"/>
      <c r="I126" s="4">
        <f t="shared" ref="I126:I138" si="24">ABS(J126-J125)</f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25</v>
      </c>
      <c r="B127" s="16">
        <v>44063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26</v>
      </c>
      <c r="B128" s="16">
        <v>44064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27</v>
      </c>
      <c r="B129" s="16">
        <v>44065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28</v>
      </c>
      <c r="B130" s="16">
        <v>44066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29</v>
      </c>
      <c r="B131" s="16">
        <v>44067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30</v>
      </c>
      <c r="B132" s="16">
        <v>44068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31</v>
      </c>
      <c r="B133" s="16">
        <v>44069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32</v>
      </c>
      <c r="B134" s="16">
        <v>44070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33</v>
      </c>
      <c r="B135" s="16">
        <v>44071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34</v>
      </c>
      <c r="B136" s="16">
        <v>44072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>
      <c r="A137" s="12" t="s">
        <v>35</v>
      </c>
      <c r="B137" s="16">
        <v>44073</v>
      </c>
      <c r="C137" s="4">
        <f t="shared" si="21"/>
        <v>0</v>
      </c>
      <c r="D137" s="5"/>
      <c r="E137" s="4">
        <f t="shared" si="22"/>
        <v>0</v>
      </c>
      <c r="F137" s="5"/>
      <c r="G137" s="4">
        <f t="shared" si="23"/>
        <v>0</v>
      </c>
      <c r="H137" s="5"/>
      <c r="I137" s="4">
        <f t="shared" si="24"/>
        <v>0</v>
      </c>
      <c r="J137" s="5"/>
      <c r="K137" s="4">
        <f t="shared" si="20"/>
        <v>0</v>
      </c>
      <c r="L137" s="5"/>
    </row>
    <row r="138" spans="1:12" ht="18.5" customHeight="1" thickBot="1">
      <c r="A138" s="14" t="s">
        <v>36</v>
      </c>
      <c r="B138" s="16">
        <v>44074</v>
      </c>
      <c r="C138" s="6">
        <f t="shared" si="21"/>
        <v>0</v>
      </c>
      <c r="D138" s="7"/>
      <c r="E138" s="6">
        <f t="shared" si="22"/>
        <v>0</v>
      </c>
      <c r="F138" s="7"/>
      <c r="G138" s="6">
        <f t="shared" si="23"/>
        <v>0</v>
      </c>
      <c r="H138" s="7"/>
      <c r="I138" s="6">
        <f t="shared" si="24"/>
        <v>0</v>
      </c>
      <c r="J138" s="7"/>
      <c r="K138" s="6">
        <f t="shared" si="20"/>
        <v>0</v>
      </c>
      <c r="L138" s="7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I12" sqref="I1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10</v>
      </c>
      <c r="D4" s="27">
        <f>心斎橋!F3</f>
        <v>10</v>
      </c>
      <c r="E4" s="27">
        <f>心斎橋!H3</f>
        <v>10</v>
      </c>
      <c r="F4" s="27">
        <f>心斎橋!J3</f>
        <v>30</v>
      </c>
      <c r="G4" s="28">
        <f>心斎橋!L3</f>
        <v>80</v>
      </c>
    </row>
    <row r="5" spans="2:7" ht="27.5" customHeight="1" thickBot="1">
      <c r="B5" s="29"/>
      <c r="C5" s="30">
        <f>ABS(C4)</f>
        <v>10</v>
      </c>
      <c r="D5" s="30">
        <f>ABS(D4)</f>
        <v>10</v>
      </c>
      <c r="E5" s="30">
        <f>ABS(E4)</f>
        <v>10</v>
      </c>
      <c r="F5" s="30">
        <f>ABS(F4)</f>
        <v>30</v>
      </c>
      <c r="G5" s="31">
        <f>ABS(G4)</f>
        <v>80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10</v>
      </c>
      <c r="D12" s="33">
        <f t="shared" si="0"/>
        <v>10</v>
      </c>
      <c r="E12" s="33">
        <f t="shared" si="0"/>
        <v>10</v>
      </c>
      <c r="F12" s="33">
        <f>SUM(F4,F6,F8,F10,)</f>
        <v>30</v>
      </c>
      <c r="G12" s="34">
        <f>SUM(G4,G6,G8,G10)</f>
        <v>80</v>
      </c>
    </row>
    <row r="13" spans="2:7" ht="27.5" customHeight="1" thickBot="1">
      <c r="B13" s="35" t="s">
        <v>5</v>
      </c>
      <c r="C13" s="36">
        <f t="shared" si="0"/>
        <v>10</v>
      </c>
      <c r="D13" s="36">
        <f t="shared" si="0"/>
        <v>10</v>
      </c>
      <c r="E13" s="36">
        <f t="shared" si="0"/>
        <v>10</v>
      </c>
      <c r="F13" s="36">
        <f>SUM(F5,F7,F9,F11)</f>
        <v>30</v>
      </c>
      <c r="G13" s="37">
        <f>SUM(G5,G7,G9,G11)</f>
        <v>80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</row>
    <row r="18" spans="2:7" ht="27.5" customHeight="1" thickBot="1">
      <c r="B18" s="35"/>
      <c r="C18" s="36">
        <v>0</v>
      </c>
      <c r="D18" s="36">
        <v>0</v>
      </c>
      <c r="E18" s="36">
        <v>0</v>
      </c>
      <c r="F18" s="36">
        <v>0</v>
      </c>
      <c r="G18" s="36">
        <v>0</v>
      </c>
    </row>
    <row r="19" spans="2:7" ht="27.5" customHeight="1">
      <c r="B19" s="32" t="s">
        <v>1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</row>
    <row r="20" spans="2:7" ht="27.5" customHeight="1" thickBot="1">
      <c r="B20" s="35"/>
      <c r="C20" s="36">
        <v>0</v>
      </c>
      <c r="D20" s="36">
        <v>0</v>
      </c>
      <c r="E20" s="36">
        <v>0</v>
      </c>
      <c r="F20" s="36">
        <v>0</v>
      </c>
      <c r="G20" s="36">
        <v>0</v>
      </c>
    </row>
    <row r="21" spans="2:7" ht="27.5" customHeight="1">
      <c r="B21" s="32" t="s">
        <v>2</v>
      </c>
      <c r="C21" s="33"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1">SUM(C9,C21)</f>
        <v>0</v>
      </c>
      <c r="D22" s="36">
        <f t="shared" si="1"/>
        <v>0</v>
      </c>
      <c r="E22" s="36">
        <f t="shared" si="1"/>
        <v>0</v>
      </c>
      <c r="F22" s="36">
        <f t="shared" si="1"/>
        <v>0</v>
      </c>
      <c r="G22" s="37">
        <f t="shared" si="1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2">SUM(C11,C23)</f>
        <v>0</v>
      </c>
      <c r="D24" s="36">
        <f t="shared" si="2"/>
        <v>0</v>
      </c>
      <c r="E24" s="36">
        <f>SUM(E11,E23)</f>
        <v>0</v>
      </c>
      <c r="F24" s="36">
        <f t="shared" si="2"/>
        <v>0</v>
      </c>
      <c r="G24" s="37">
        <f t="shared" si="2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3">SUM(C13,C25)</f>
        <v>10</v>
      </c>
      <c r="D26" s="36">
        <f t="shared" si="3"/>
        <v>10</v>
      </c>
      <c r="E26" s="36">
        <f t="shared" si="3"/>
        <v>10</v>
      </c>
      <c r="F26" s="36">
        <f t="shared" si="3"/>
        <v>30</v>
      </c>
      <c r="G26" s="37">
        <f t="shared" si="3"/>
        <v>80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4">SUM(C18,C30)</f>
        <v>0</v>
      </c>
      <c r="D31" s="36">
        <f t="shared" si="4"/>
        <v>0</v>
      </c>
      <c r="E31" s="36">
        <f t="shared" si="4"/>
        <v>0</v>
      </c>
      <c r="F31" s="36">
        <f t="shared" si="4"/>
        <v>0</v>
      </c>
      <c r="G31" s="37">
        <f t="shared" si="4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5">SUM(C20,C32)</f>
        <v>0</v>
      </c>
      <c r="D33" s="36">
        <f t="shared" si="5"/>
        <v>0</v>
      </c>
      <c r="E33" s="36">
        <f t="shared" si="5"/>
        <v>0</v>
      </c>
      <c r="F33" s="36">
        <f t="shared" si="5"/>
        <v>0</v>
      </c>
      <c r="G33" s="37">
        <f t="shared" si="5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6">SUM(C22,C34)</f>
        <v>0</v>
      </c>
      <c r="D35" s="36">
        <f t="shared" si="6"/>
        <v>0</v>
      </c>
      <c r="E35" s="36">
        <f t="shared" si="6"/>
        <v>0</v>
      </c>
      <c r="F35" s="36">
        <f t="shared" si="6"/>
        <v>0</v>
      </c>
      <c r="G35" s="37">
        <f t="shared" si="6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7">SUM(C24,C36)</f>
        <v>0</v>
      </c>
      <c r="D37" s="36">
        <f t="shared" si="7"/>
        <v>0</v>
      </c>
      <c r="E37" s="36">
        <f>SUM(E24,E36)</f>
        <v>0</v>
      </c>
      <c r="F37" s="36">
        <f t="shared" si="7"/>
        <v>0</v>
      </c>
      <c r="G37" s="36">
        <f t="shared" si="7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8">SUM(C26,C38)</f>
        <v>10</v>
      </c>
      <c r="D39" s="36">
        <f t="shared" si="8"/>
        <v>10</v>
      </c>
      <c r="E39" s="36">
        <f t="shared" si="8"/>
        <v>10</v>
      </c>
      <c r="F39" s="36">
        <f t="shared" si="8"/>
        <v>30</v>
      </c>
      <c r="G39" s="37">
        <f t="shared" si="8"/>
        <v>80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9">SUM(C31,C43)</f>
        <v>0</v>
      </c>
      <c r="D44" s="36">
        <f t="shared" si="9"/>
        <v>0</v>
      </c>
      <c r="E44" s="36">
        <f t="shared" si="9"/>
        <v>0</v>
      </c>
      <c r="F44" s="36">
        <f t="shared" si="9"/>
        <v>0</v>
      </c>
      <c r="G44" s="37">
        <f t="shared" si="9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0">SUM(C33,C45)</f>
        <v>0</v>
      </c>
      <c r="D46" s="36">
        <f t="shared" si="10"/>
        <v>0</v>
      </c>
      <c r="E46" s="36">
        <f t="shared" si="10"/>
        <v>0</v>
      </c>
      <c r="F46" s="36">
        <f t="shared" si="10"/>
        <v>0</v>
      </c>
      <c r="G46" s="37">
        <f t="shared" si="10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1">SUM(C35,C47)</f>
        <v>0</v>
      </c>
      <c r="D48" s="36">
        <f t="shared" si="11"/>
        <v>0</v>
      </c>
      <c r="E48" s="36">
        <f t="shared" si="11"/>
        <v>0</v>
      </c>
      <c r="F48" s="36">
        <f t="shared" si="11"/>
        <v>0</v>
      </c>
      <c r="G48" s="37">
        <f t="shared" si="11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2">SUM(C37,C49)</f>
        <v>0</v>
      </c>
      <c r="D50" s="36">
        <f t="shared" si="12"/>
        <v>0</v>
      </c>
      <c r="E50" s="36">
        <f t="shared" si="12"/>
        <v>0</v>
      </c>
      <c r="F50" s="36">
        <f t="shared" si="12"/>
        <v>0</v>
      </c>
      <c r="G50" s="37">
        <f t="shared" si="12"/>
        <v>0</v>
      </c>
    </row>
    <row r="51" spans="2:8" ht="27.5" customHeight="1">
      <c r="B51" s="32" t="s">
        <v>4</v>
      </c>
      <c r="C51" s="33">
        <f t="shared" ref="C51:G51" si="13">SUM(C43,C45,C47,C49)</f>
        <v>0</v>
      </c>
      <c r="D51" s="33">
        <f t="shared" si="13"/>
        <v>0</v>
      </c>
      <c r="E51" s="33">
        <f t="shared" si="13"/>
        <v>0</v>
      </c>
      <c r="F51" s="33">
        <f t="shared" si="13"/>
        <v>0</v>
      </c>
      <c r="G51" s="34">
        <f t="shared" si="13"/>
        <v>0</v>
      </c>
    </row>
    <row r="52" spans="2:8" ht="27.5" customHeight="1" thickBot="1">
      <c r="B52" s="35" t="s">
        <v>5</v>
      </c>
      <c r="C52" s="36">
        <f t="shared" ref="C52:G52" si="14">SUM(C39,C51)</f>
        <v>10</v>
      </c>
      <c r="D52" s="36">
        <f t="shared" si="14"/>
        <v>10</v>
      </c>
      <c r="E52" s="36">
        <f t="shared" si="14"/>
        <v>10</v>
      </c>
      <c r="F52" s="36">
        <f t="shared" si="14"/>
        <v>30</v>
      </c>
      <c r="G52" s="37">
        <f t="shared" si="14"/>
        <v>80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5">SUM(C44,C56)</f>
        <v>0</v>
      </c>
      <c r="D57" s="36">
        <f t="shared" si="15"/>
        <v>0</v>
      </c>
      <c r="E57" s="36">
        <f t="shared" si="15"/>
        <v>0</v>
      </c>
      <c r="F57" s="36">
        <f t="shared" si="15"/>
        <v>0</v>
      </c>
      <c r="G57" s="37">
        <f t="shared" si="15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6">SUM(C46,C58)</f>
        <v>0</v>
      </c>
      <c r="D59" s="36">
        <f t="shared" si="16"/>
        <v>0</v>
      </c>
      <c r="E59" s="36">
        <f t="shared" si="16"/>
        <v>0</v>
      </c>
      <c r="F59" s="36">
        <f t="shared" si="16"/>
        <v>0</v>
      </c>
      <c r="G59" s="37">
        <f t="shared" si="16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7">SUM(C48,C60)</f>
        <v>0</v>
      </c>
      <c r="D61" s="36">
        <f t="shared" si="17"/>
        <v>0</v>
      </c>
      <c r="E61" s="36">
        <f t="shared" si="17"/>
        <v>0</v>
      </c>
      <c r="F61" s="36">
        <f t="shared" si="17"/>
        <v>0</v>
      </c>
      <c r="G61" s="37">
        <f t="shared" si="17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18">SUM(C50,C62)</f>
        <v>0</v>
      </c>
      <c r="D63" s="36">
        <f t="shared" si="18"/>
        <v>0</v>
      </c>
      <c r="E63" s="36">
        <f t="shared" si="18"/>
        <v>0</v>
      </c>
      <c r="F63" s="36">
        <f t="shared" si="18"/>
        <v>0</v>
      </c>
      <c r="G63" s="36">
        <f t="shared" si="18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19">SUM(C52,C64)</f>
        <v>10</v>
      </c>
      <c r="D65" s="36">
        <f t="shared" si="19"/>
        <v>10</v>
      </c>
      <c r="E65" s="36">
        <f t="shared" si="19"/>
        <v>10</v>
      </c>
      <c r="F65" s="36">
        <f t="shared" si="19"/>
        <v>30</v>
      </c>
      <c r="G65" s="37">
        <f t="shared" si="19"/>
        <v>80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0">SUM(C57,C69)</f>
        <v>0</v>
      </c>
      <c r="D70" s="36">
        <f t="shared" si="20"/>
        <v>0</v>
      </c>
      <c r="E70" s="36">
        <f t="shared" si="20"/>
        <v>0</v>
      </c>
      <c r="F70" s="36">
        <f t="shared" si="20"/>
        <v>0</v>
      </c>
      <c r="G70" s="37">
        <f t="shared" si="20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1">SUM(C59,C71)</f>
        <v>0</v>
      </c>
      <c r="D72" s="36">
        <f t="shared" si="21"/>
        <v>0</v>
      </c>
      <c r="E72" s="36">
        <f t="shared" si="21"/>
        <v>0</v>
      </c>
      <c r="F72" s="36">
        <f t="shared" si="21"/>
        <v>0</v>
      </c>
      <c r="G72" s="37">
        <f t="shared" si="21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2">SUM(C61,C73)</f>
        <v>0</v>
      </c>
      <c r="D74" s="36">
        <f t="shared" si="22"/>
        <v>0</v>
      </c>
      <c r="E74" s="36">
        <f t="shared" si="22"/>
        <v>0</v>
      </c>
      <c r="F74" s="36">
        <f t="shared" si="22"/>
        <v>0</v>
      </c>
      <c r="G74" s="37">
        <f t="shared" si="22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3">SUM(C63,C75)</f>
        <v>0</v>
      </c>
      <c r="D76" s="36">
        <f t="shared" si="23"/>
        <v>0</v>
      </c>
      <c r="E76" s="36">
        <f t="shared" si="23"/>
        <v>0</v>
      </c>
      <c r="F76" s="36">
        <f t="shared" si="23"/>
        <v>0</v>
      </c>
      <c r="G76" s="36">
        <f t="shared" si="23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4">SUM(C65,C77)</f>
        <v>10</v>
      </c>
      <c r="D78" s="36">
        <f t="shared" si="24"/>
        <v>10</v>
      </c>
      <c r="E78" s="36">
        <f t="shared" si="24"/>
        <v>10</v>
      </c>
      <c r="F78" s="36">
        <f t="shared" si="24"/>
        <v>30</v>
      </c>
      <c r="G78" s="37">
        <f t="shared" si="24"/>
        <v>80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5">SUM(C70,C82)</f>
        <v>0</v>
      </c>
      <c r="D83" s="36">
        <f t="shared" si="25"/>
        <v>0</v>
      </c>
      <c r="E83" s="36">
        <f t="shared" si="25"/>
        <v>0</v>
      </c>
      <c r="F83" s="36">
        <f t="shared" si="25"/>
        <v>0</v>
      </c>
      <c r="G83" s="37">
        <f t="shared" si="25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6">SUM(C72,C84)</f>
        <v>0</v>
      </c>
      <c r="D85" s="36">
        <f t="shared" si="26"/>
        <v>0</v>
      </c>
      <c r="E85" s="36">
        <f t="shared" si="26"/>
        <v>0</v>
      </c>
      <c r="F85" s="36">
        <f t="shared" si="26"/>
        <v>0</v>
      </c>
      <c r="G85" s="37">
        <f t="shared" si="26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7">SUM(C74,C86)</f>
        <v>0</v>
      </c>
      <c r="D87" s="36">
        <f t="shared" si="27"/>
        <v>0</v>
      </c>
      <c r="E87" s="36">
        <f t="shared" si="27"/>
        <v>0</v>
      </c>
      <c r="F87" s="36">
        <f t="shared" si="27"/>
        <v>0</v>
      </c>
      <c r="G87" s="37">
        <f t="shared" si="27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28">SUM(C76,C88)</f>
        <v>0</v>
      </c>
      <c r="D89" s="36">
        <f t="shared" si="28"/>
        <v>0</v>
      </c>
      <c r="E89" s="36">
        <f t="shared" si="28"/>
        <v>0</v>
      </c>
      <c r="F89" s="36">
        <f t="shared" si="28"/>
        <v>0</v>
      </c>
      <c r="G89" s="36">
        <f t="shared" si="28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29">SUM(C78,C90)</f>
        <v>10</v>
      </c>
      <c r="D91" s="36">
        <f t="shared" si="29"/>
        <v>10</v>
      </c>
      <c r="E91" s="36">
        <f t="shared" si="29"/>
        <v>10</v>
      </c>
      <c r="F91" s="36">
        <f t="shared" si="29"/>
        <v>30</v>
      </c>
      <c r="G91" s="37">
        <f t="shared" si="29"/>
        <v>80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0">SUM(D83,D95)</f>
        <v>0</v>
      </c>
      <c r="E96" s="36">
        <f t="shared" si="30"/>
        <v>0</v>
      </c>
      <c r="F96" s="36">
        <f t="shared" si="30"/>
        <v>0</v>
      </c>
      <c r="G96" s="37">
        <f t="shared" si="30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1">SUM(C85,C97)</f>
        <v>0</v>
      </c>
      <c r="D98" s="36">
        <f t="shared" si="31"/>
        <v>0</v>
      </c>
      <c r="E98" s="36">
        <f t="shared" si="31"/>
        <v>0</v>
      </c>
      <c r="F98" s="36">
        <f t="shared" si="31"/>
        <v>0</v>
      </c>
      <c r="G98" s="37">
        <f t="shared" si="31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2">SUM(C87,C99)</f>
        <v>0</v>
      </c>
      <c r="D100" s="36">
        <f t="shared" si="32"/>
        <v>0</v>
      </c>
      <c r="E100" s="36">
        <f t="shared" si="32"/>
        <v>0</v>
      </c>
      <c r="F100" s="36">
        <f t="shared" si="32"/>
        <v>0</v>
      </c>
      <c r="G100" s="37">
        <f t="shared" si="32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3">SUM(C89,C101)</f>
        <v>0</v>
      </c>
      <c r="D102" s="36">
        <f t="shared" si="33"/>
        <v>0</v>
      </c>
      <c r="E102" s="36">
        <f t="shared" si="33"/>
        <v>0</v>
      </c>
      <c r="F102" s="36">
        <f t="shared" si="33"/>
        <v>0</v>
      </c>
      <c r="G102" s="36">
        <f t="shared" si="33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10</v>
      </c>
      <c r="D104" s="36">
        <f t="shared" ref="D104:G104" si="34">SUM(D91,D103)</f>
        <v>10</v>
      </c>
      <c r="E104" s="36">
        <f t="shared" si="34"/>
        <v>10</v>
      </c>
      <c r="F104" s="36">
        <f t="shared" si="34"/>
        <v>30</v>
      </c>
      <c r="G104" s="37">
        <f t="shared" si="34"/>
        <v>80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5">SUM(C96,C108)</f>
        <v>0</v>
      </c>
      <c r="D109" s="36">
        <f t="shared" si="35"/>
        <v>0</v>
      </c>
      <c r="E109" s="36">
        <f t="shared" si="35"/>
        <v>0</v>
      </c>
      <c r="F109" s="36">
        <f t="shared" si="35"/>
        <v>0</v>
      </c>
      <c r="G109" s="37">
        <f t="shared" si="35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6">SUM(C98,C110)</f>
        <v>0</v>
      </c>
      <c r="D111" s="36">
        <f t="shared" si="36"/>
        <v>0</v>
      </c>
      <c r="E111" s="36">
        <f t="shared" si="36"/>
        <v>0</v>
      </c>
      <c r="F111" s="36">
        <f t="shared" si="36"/>
        <v>0</v>
      </c>
      <c r="G111" s="37">
        <f t="shared" si="36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7">SUM(C100,C112)</f>
        <v>0</v>
      </c>
      <c r="D113" s="36">
        <f t="shared" si="37"/>
        <v>0</v>
      </c>
      <c r="E113" s="36">
        <f t="shared" si="37"/>
        <v>0</v>
      </c>
      <c r="F113" s="36">
        <f t="shared" si="37"/>
        <v>0</v>
      </c>
      <c r="G113" s="37">
        <f t="shared" si="37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38">SUM(D102,D114)</f>
        <v>0</v>
      </c>
      <c r="E115" s="36">
        <f t="shared" si="38"/>
        <v>0</v>
      </c>
      <c r="F115" s="36">
        <f t="shared" si="38"/>
        <v>0</v>
      </c>
      <c r="G115" s="36">
        <f t="shared" si="38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10</v>
      </c>
      <c r="D117" s="36">
        <f t="shared" ref="D117:G117" si="39">SUM(D104,D116)</f>
        <v>10</v>
      </c>
      <c r="E117" s="36">
        <f t="shared" si="39"/>
        <v>10</v>
      </c>
      <c r="F117" s="36">
        <f t="shared" si="39"/>
        <v>30</v>
      </c>
      <c r="G117" s="37">
        <f t="shared" si="39"/>
        <v>80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0">SUM(C109,C121)</f>
        <v>0</v>
      </c>
      <c r="D122" s="36">
        <f t="shared" si="40"/>
        <v>0</v>
      </c>
      <c r="E122" s="36">
        <f t="shared" si="40"/>
        <v>0</v>
      </c>
      <c r="F122" s="36">
        <f t="shared" si="40"/>
        <v>0</v>
      </c>
      <c r="G122" s="37">
        <f t="shared" si="40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1">SUM(C111,C123)</f>
        <v>0</v>
      </c>
      <c r="D124" s="36">
        <f t="shared" si="41"/>
        <v>0</v>
      </c>
      <c r="E124" s="36">
        <f t="shared" si="41"/>
        <v>0</v>
      </c>
      <c r="F124" s="36">
        <f t="shared" si="41"/>
        <v>0</v>
      </c>
      <c r="G124" s="37">
        <f t="shared" si="41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2">SUM(C113,C125)</f>
        <v>0</v>
      </c>
      <c r="D126" s="36">
        <f t="shared" si="42"/>
        <v>0</v>
      </c>
      <c r="E126" s="36">
        <f t="shared" si="42"/>
        <v>0</v>
      </c>
      <c r="F126" s="36">
        <f t="shared" si="42"/>
        <v>0</v>
      </c>
      <c r="G126" s="37">
        <f t="shared" si="42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3">SUM(C115,C127)</f>
        <v>0</v>
      </c>
      <c r="D128" s="36">
        <f t="shared" si="43"/>
        <v>0</v>
      </c>
      <c r="E128" s="36">
        <f t="shared" si="43"/>
        <v>0</v>
      </c>
      <c r="F128" s="36">
        <f t="shared" si="43"/>
        <v>0</v>
      </c>
      <c r="G128" s="36">
        <f t="shared" si="43"/>
        <v>0</v>
      </c>
    </row>
    <row r="129" spans="2:7" ht="27.5" customHeight="1">
      <c r="B129" s="32" t="s">
        <v>4</v>
      </c>
      <c r="C129" s="33">
        <f t="shared" ref="C129:G129" si="44">SUM(C121,C123,C125,C127)</f>
        <v>0</v>
      </c>
      <c r="D129" s="33">
        <f t="shared" si="44"/>
        <v>0</v>
      </c>
      <c r="E129" s="33">
        <f t="shared" si="44"/>
        <v>0</v>
      </c>
      <c r="F129" s="33">
        <f t="shared" si="44"/>
        <v>0</v>
      </c>
      <c r="G129" s="34">
        <f t="shared" si="44"/>
        <v>0</v>
      </c>
    </row>
    <row r="130" spans="2:7" ht="27.5" customHeight="1" thickBot="1">
      <c r="B130" s="35" t="s">
        <v>5</v>
      </c>
      <c r="C130" s="36">
        <f t="shared" ref="C130:G130" si="45">SUM(C117,C129)</f>
        <v>10</v>
      </c>
      <c r="D130" s="36">
        <f t="shared" si="45"/>
        <v>10</v>
      </c>
      <c r="E130" s="36">
        <f t="shared" si="45"/>
        <v>10</v>
      </c>
      <c r="F130" s="36">
        <f t="shared" si="45"/>
        <v>30</v>
      </c>
      <c r="G130" s="36">
        <f t="shared" si="45"/>
        <v>80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6">SUM(C122,C134)</f>
        <v>0</v>
      </c>
      <c r="D135" s="36">
        <f t="shared" si="46"/>
        <v>0</v>
      </c>
      <c r="E135" s="36">
        <f t="shared" si="46"/>
        <v>0</v>
      </c>
      <c r="F135" s="36">
        <f t="shared" si="46"/>
        <v>0</v>
      </c>
      <c r="G135" s="37">
        <f t="shared" si="46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7">SUM(C124,C136)</f>
        <v>0</v>
      </c>
      <c r="D137" s="36">
        <f t="shared" si="47"/>
        <v>0</v>
      </c>
      <c r="E137" s="36">
        <f t="shared" si="47"/>
        <v>0</v>
      </c>
      <c r="F137" s="36">
        <f t="shared" si="47"/>
        <v>0</v>
      </c>
      <c r="G137" s="37">
        <f t="shared" si="47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48">SUM(C126,C138)</f>
        <v>0</v>
      </c>
      <c r="D139" s="36">
        <f t="shared" si="48"/>
        <v>0</v>
      </c>
      <c r="E139" s="36">
        <f t="shared" si="48"/>
        <v>0</v>
      </c>
      <c r="F139" s="36">
        <f t="shared" si="48"/>
        <v>0</v>
      </c>
      <c r="G139" s="37">
        <f t="shared" si="48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49">SUM(C128,C140)</f>
        <v>0</v>
      </c>
      <c r="D141" s="36">
        <f t="shared" si="49"/>
        <v>0</v>
      </c>
      <c r="E141" s="36">
        <f t="shared" si="49"/>
        <v>0</v>
      </c>
      <c r="F141" s="36">
        <f t="shared" si="49"/>
        <v>0</v>
      </c>
      <c r="G141" s="36">
        <f t="shared" si="49"/>
        <v>0</v>
      </c>
    </row>
    <row r="142" spans="2:7" ht="27.5" customHeight="1">
      <c r="B142" s="32" t="s">
        <v>4</v>
      </c>
      <c r="C142" s="33">
        <f t="shared" ref="C142:G142" si="50">SUM(C134,C136,C138,C140)</f>
        <v>0</v>
      </c>
      <c r="D142" s="33">
        <f t="shared" si="50"/>
        <v>0</v>
      </c>
      <c r="E142" s="33">
        <f t="shared" si="50"/>
        <v>0</v>
      </c>
      <c r="F142" s="33">
        <f t="shared" si="50"/>
        <v>0</v>
      </c>
      <c r="G142" s="34">
        <f t="shared" si="50"/>
        <v>0</v>
      </c>
    </row>
    <row r="143" spans="2:7" ht="27.5" customHeight="1" thickBot="1">
      <c r="B143" s="35" t="s">
        <v>5</v>
      </c>
      <c r="C143" s="36">
        <f t="shared" ref="C143:G143" si="51">SUM(C130,C142)</f>
        <v>10</v>
      </c>
      <c r="D143" s="36">
        <f t="shared" si="51"/>
        <v>10</v>
      </c>
      <c r="E143" s="36">
        <f t="shared" si="51"/>
        <v>10</v>
      </c>
      <c r="F143" s="36">
        <f t="shared" si="51"/>
        <v>30</v>
      </c>
      <c r="G143" s="37">
        <f t="shared" si="51"/>
        <v>80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2">SUM(C135,C147)</f>
        <v>0</v>
      </c>
      <c r="D148" s="36">
        <f t="shared" si="52"/>
        <v>0</v>
      </c>
      <c r="E148" s="36">
        <f t="shared" si="52"/>
        <v>0</v>
      </c>
      <c r="F148" s="36">
        <f t="shared" si="52"/>
        <v>0</v>
      </c>
      <c r="G148" s="37">
        <f t="shared" si="52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3">SUM(C137,C149)</f>
        <v>0</v>
      </c>
      <c r="D150" s="36">
        <f t="shared" si="53"/>
        <v>0</v>
      </c>
      <c r="E150" s="36">
        <f t="shared" si="53"/>
        <v>0</v>
      </c>
      <c r="F150" s="36">
        <f t="shared" si="53"/>
        <v>0</v>
      </c>
      <c r="G150" s="37">
        <f t="shared" si="53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4">SUM(C139,C151)</f>
        <v>0</v>
      </c>
      <c r="D152" s="36">
        <f t="shared" si="54"/>
        <v>0</v>
      </c>
      <c r="E152" s="36">
        <f t="shared" si="54"/>
        <v>0</v>
      </c>
      <c r="F152" s="36">
        <f t="shared" si="54"/>
        <v>0</v>
      </c>
      <c r="G152" s="37">
        <f t="shared" si="54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5">SUM(C141,C153)</f>
        <v>0</v>
      </c>
      <c r="D154" s="36">
        <f t="shared" si="55"/>
        <v>0</v>
      </c>
      <c r="E154" s="36">
        <f t="shared" si="55"/>
        <v>0</v>
      </c>
      <c r="F154" s="36">
        <f t="shared" si="55"/>
        <v>0</v>
      </c>
      <c r="G154" s="36">
        <f t="shared" si="55"/>
        <v>0</v>
      </c>
    </row>
    <row r="155" spans="2:7" ht="27.5" customHeight="1">
      <c r="B155" s="32" t="s">
        <v>4</v>
      </c>
      <c r="C155" s="33">
        <f t="shared" ref="C155:G155" si="56">SUM(C147,C149,C151,C153)</f>
        <v>0</v>
      </c>
      <c r="D155" s="33">
        <f t="shared" si="56"/>
        <v>0</v>
      </c>
      <c r="E155" s="33">
        <f t="shared" si="56"/>
        <v>0</v>
      </c>
      <c r="F155" s="33">
        <f t="shared" si="56"/>
        <v>0</v>
      </c>
      <c r="G155" s="34">
        <f t="shared" si="56"/>
        <v>0</v>
      </c>
    </row>
    <row r="156" spans="2:7" ht="27.5" customHeight="1" thickBot="1">
      <c r="B156" s="35" t="s">
        <v>5</v>
      </c>
      <c r="C156" s="36">
        <f t="shared" ref="C156:G156" si="57">SUM(C143,C155)</f>
        <v>10</v>
      </c>
      <c r="D156" s="36">
        <f t="shared" si="57"/>
        <v>10</v>
      </c>
      <c r="E156" s="36">
        <f t="shared" si="57"/>
        <v>10</v>
      </c>
      <c r="F156" s="36">
        <f t="shared" si="57"/>
        <v>30</v>
      </c>
      <c r="G156" s="37">
        <f t="shared" si="57"/>
        <v>80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58">SUM(C148,C160)</f>
        <v>0</v>
      </c>
      <c r="D161" s="36">
        <f t="shared" si="58"/>
        <v>0</v>
      </c>
      <c r="E161" s="36">
        <f t="shared" si="58"/>
        <v>0</v>
      </c>
      <c r="F161" s="36">
        <f t="shared" si="58"/>
        <v>0</v>
      </c>
      <c r="G161" s="37">
        <f t="shared" si="58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59">SUM(C150,C162)</f>
        <v>0</v>
      </c>
      <c r="D163" s="36">
        <f t="shared" si="59"/>
        <v>0</v>
      </c>
      <c r="E163" s="36">
        <f t="shared" si="59"/>
        <v>0</v>
      </c>
      <c r="F163" s="36">
        <f t="shared" si="59"/>
        <v>0</v>
      </c>
      <c r="G163" s="37">
        <f t="shared" si="59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0">SUM(C152,C164)</f>
        <v>0</v>
      </c>
      <c r="D165" s="36">
        <f>SUM(D152,D164)</f>
        <v>0</v>
      </c>
      <c r="E165" s="36">
        <f t="shared" si="60"/>
        <v>0</v>
      </c>
      <c r="F165" s="36">
        <f t="shared" si="60"/>
        <v>0</v>
      </c>
      <c r="G165" s="37">
        <f t="shared" si="60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1">SUM(C154,C166)</f>
        <v>0</v>
      </c>
      <c r="D167" s="36">
        <f t="shared" si="61"/>
        <v>0</v>
      </c>
      <c r="E167" s="36">
        <f t="shared" si="61"/>
        <v>0</v>
      </c>
      <c r="F167" s="36">
        <f t="shared" si="61"/>
        <v>0</v>
      </c>
      <c r="G167" s="36">
        <f t="shared" si="61"/>
        <v>0</v>
      </c>
    </row>
    <row r="168" spans="2:7" ht="27.5" customHeight="1">
      <c r="B168" s="32" t="s">
        <v>4</v>
      </c>
      <c r="C168" s="33">
        <f t="shared" ref="C168:G168" si="62">SUM(C160,C162,C164,C166)</f>
        <v>0</v>
      </c>
      <c r="D168" s="33">
        <f t="shared" si="62"/>
        <v>0</v>
      </c>
      <c r="E168" s="33">
        <f t="shared" si="62"/>
        <v>0</v>
      </c>
      <c r="F168" s="33">
        <f t="shared" si="62"/>
        <v>0</v>
      </c>
      <c r="G168" s="34">
        <f t="shared" si="62"/>
        <v>0</v>
      </c>
    </row>
    <row r="169" spans="2:7" ht="27.5" customHeight="1" thickBot="1">
      <c r="B169" s="35" t="s">
        <v>5</v>
      </c>
      <c r="C169" s="36">
        <f t="shared" ref="C169:G169" si="63">SUM(C156,C168)</f>
        <v>10</v>
      </c>
      <c r="D169" s="36">
        <f t="shared" si="63"/>
        <v>10</v>
      </c>
      <c r="E169" s="36">
        <f t="shared" si="63"/>
        <v>10</v>
      </c>
      <c r="F169" s="36">
        <f t="shared" si="63"/>
        <v>30</v>
      </c>
      <c r="G169" s="37">
        <f t="shared" si="63"/>
        <v>80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4">SUM(D161,D173)</f>
        <v>0</v>
      </c>
      <c r="E174" s="36">
        <f t="shared" si="64"/>
        <v>0</v>
      </c>
      <c r="F174" s="36">
        <f t="shared" si="64"/>
        <v>0</v>
      </c>
      <c r="G174" s="37">
        <f t="shared" si="64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5">SUM(C163,C175)</f>
        <v>0</v>
      </c>
      <c r="D176" s="36">
        <f t="shared" si="65"/>
        <v>0</v>
      </c>
      <c r="E176" s="36">
        <f t="shared" si="65"/>
        <v>0</v>
      </c>
      <c r="F176" s="36">
        <f t="shared" si="65"/>
        <v>0</v>
      </c>
      <c r="G176" s="37">
        <f t="shared" si="65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6">SUM(C165,C177)</f>
        <v>0</v>
      </c>
      <c r="D178" s="36">
        <f t="shared" si="66"/>
        <v>0</v>
      </c>
      <c r="E178" s="36">
        <f t="shared" si="66"/>
        <v>0</v>
      </c>
      <c r="F178" s="36">
        <f t="shared" si="66"/>
        <v>0</v>
      </c>
      <c r="G178" s="37">
        <f t="shared" si="66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7">SUM(C167,C179)</f>
        <v>0</v>
      </c>
      <c r="D180" s="36">
        <f t="shared" si="67"/>
        <v>0</v>
      </c>
      <c r="E180" s="36">
        <f t="shared" si="67"/>
        <v>0</v>
      </c>
      <c r="F180" s="36">
        <f t="shared" si="67"/>
        <v>0</v>
      </c>
      <c r="G180" s="36">
        <f t="shared" si="67"/>
        <v>0</v>
      </c>
    </row>
    <row r="181" spans="2:7" ht="27.5" customHeight="1">
      <c r="B181" s="32" t="s">
        <v>4</v>
      </c>
      <c r="C181" s="33">
        <f t="shared" ref="C181:G181" si="68">SUM(C173,C175,C177,C179)</f>
        <v>0</v>
      </c>
      <c r="D181" s="33">
        <f t="shared" si="68"/>
        <v>0</v>
      </c>
      <c r="E181" s="33">
        <f t="shared" si="68"/>
        <v>0</v>
      </c>
      <c r="F181" s="33">
        <f t="shared" si="68"/>
        <v>0</v>
      </c>
      <c r="G181" s="34">
        <f t="shared" si="68"/>
        <v>0</v>
      </c>
    </row>
    <row r="182" spans="2:7" ht="27.5" customHeight="1" thickBot="1">
      <c r="B182" s="35" t="s">
        <v>5</v>
      </c>
      <c r="C182" s="36">
        <f t="shared" ref="C182:G182" si="69">SUM(C169,C181)</f>
        <v>10</v>
      </c>
      <c r="D182" s="36">
        <f t="shared" si="69"/>
        <v>10</v>
      </c>
      <c r="E182" s="36">
        <f t="shared" si="69"/>
        <v>10</v>
      </c>
      <c r="F182" s="36">
        <f t="shared" si="69"/>
        <v>30</v>
      </c>
      <c r="G182" s="37">
        <f t="shared" si="69"/>
        <v>80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0">SUM(D174,D186)</f>
        <v>0</v>
      </c>
      <c r="E187" s="36">
        <f t="shared" si="70"/>
        <v>0</v>
      </c>
      <c r="F187" s="36">
        <f t="shared" si="70"/>
        <v>0</v>
      </c>
      <c r="G187" s="37">
        <f t="shared" si="70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1">SUM(C176,C188)</f>
        <v>0</v>
      </c>
      <c r="D189" s="36">
        <f t="shared" si="71"/>
        <v>0</v>
      </c>
      <c r="E189" s="36">
        <f t="shared" si="71"/>
        <v>0</v>
      </c>
      <c r="F189" s="36">
        <f t="shared" si="71"/>
        <v>0</v>
      </c>
      <c r="G189" s="37">
        <f t="shared" si="71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2">SUM(C178,C190)</f>
        <v>0</v>
      </c>
      <c r="D191" s="36">
        <f t="shared" si="72"/>
        <v>0</v>
      </c>
      <c r="E191" s="36">
        <f t="shared" si="72"/>
        <v>0</v>
      </c>
      <c r="F191" s="36">
        <f t="shared" si="72"/>
        <v>0</v>
      </c>
      <c r="G191" s="37">
        <f t="shared" si="72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3">SUM(C180,C192)</f>
        <v>0</v>
      </c>
      <c r="D193" s="36">
        <f t="shared" si="73"/>
        <v>0</v>
      </c>
      <c r="E193" s="36">
        <f t="shared" si="73"/>
        <v>0</v>
      </c>
      <c r="F193" s="36">
        <f t="shared" si="73"/>
        <v>0</v>
      </c>
      <c r="G193" s="36">
        <f t="shared" si="73"/>
        <v>0</v>
      </c>
    </row>
    <row r="194" spans="2:7" ht="27.5" customHeight="1">
      <c r="B194" s="32" t="s">
        <v>4</v>
      </c>
      <c r="C194" s="33">
        <f t="shared" ref="C194:G194" si="74">SUM(C186,C188,C190,C192)</f>
        <v>0</v>
      </c>
      <c r="D194" s="33">
        <f t="shared" si="74"/>
        <v>0</v>
      </c>
      <c r="E194" s="33">
        <f t="shared" si="74"/>
        <v>0</v>
      </c>
      <c r="F194" s="33">
        <f t="shared" si="74"/>
        <v>0</v>
      </c>
      <c r="G194" s="34">
        <f t="shared" si="74"/>
        <v>0</v>
      </c>
    </row>
    <row r="195" spans="2:7" ht="27.5" customHeight="1" thickBot="1">
      <c r="B195" s="35" t="s">
        <v>5</v>
      </c>
      <c r="C195" s="36">
        <f t="shared" ref="C195:G195" si="75">SUM(C182,C194)</f>
        <v>10</v>
      </c>
      <c r="D195" s="36">
        <f t="shared" si="75"/>
        <v>10</v>
      </c>
      <c r="E195" s="36">
        <f t="shared" si="75"/>
        <v>10</v>
      </c>
      <c r="F195" s="36">
        <f t="shared" si="75"/>
        <v>30</v>
      </c>
      <c r="G195" s="37">
        <f t="shared" si="75"/>
        <v>80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6">SUM(D187,D199)</f>
        <v>0</v>
      </c>
      <c r="E200" s="36">
        <f t="shared" si="76"/>
        <v>0</v>
      </c>
      <c r="F200" s="36">
        <f t="shared" si="76"/>
        <v>0</v>
      </c>
      <c r="G200" s="37">
        <f t="shared" si="76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7">SUM(C189,C201)</f>
        <v>0</v>
      </c>
      <c r="D202" s="36">
        <f t="shared" si="77"/>
        <v>0</v>
      </c>
      <c r="E202" s="36">
        <f t="shared" si="77"/>
        <v>0</v>
      </c>
      <c r="F202" s="36">
        <f t="shared" si="77"/>
        <v>0</v>
      </c>
      <c r="G202" s="37">
        <f t="shared" si="77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78">SUM(C191,C203)</f>
        <v>0</v>
      </c>
      <c r="D204" s="36">
        <f t="shared" si="78"/>
        <v>0</v>
      </c>
      <c r="E204" s="36">
        <f t="shared" si="78"/>
        <v>0</v>
      </c>
      <c r="F204" s="36">
        <f t="shared" si="78"/>
        <v>0</v>
      </c>
      <c r="G204" s="37">
        <f t="shared" si="78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79">SUM(C193,C205)</f>
        <v>0</v>
      </c>
      <c r="D206" s="36">
        <f t="shared" si="79"/>
        <v>0</v>
      </c>
      <c r="E206" s="36">
        <f t="shared" si="79"/>
        <v>0</v>
      </c>
      <c r="F206" s="36">
        <f t="shared" si="79"/>
        <v>0</v>
      </c>
      <c r="G206" s="36">
        <f t="shared" si="79"/>
        <v>0</v>
      </c>
    </row>
    <row r="207" spans="2:7" ht="27.5" customHeight="1">
      <c r="B207" s="32" t="s">
        <v>4</v>
      </c>
      <c r="C207" s="33">
        <f t="shared" ref="C207:G207" si="80">SUM(C199,C201,C203,C205)</f>
        <v>0</v>
      </c>
      <c r="D207" s="33">
        <f t="shared" si="80"/>
        <v>0</v>
      </c>
      <c r="E207" s="33">
        <f t="shared" si="80"/>
        <v>0</v>
      </c>
      <c r="F207" s="33">
        <f t="shared" si="80"/>
        <v>0</v>
      </c>
      <c r="G207" s="34">
        <f t="shared" si="80"/>
        <v>0</v>
      </c>
    </row>
    <row r="208" spans="2:7" ht="27.5" customHeight="1" thickBot="1">
      <c r="B208" s="35" t="s">
        <v>5</v>
      </c>
      <c r="C208" s="36">
        <f t="shared" ref="C208:G208" si="81">SUM(C195,C207)</f>
        <v>10</v>
      </c>
      <c r="D208" s="36">
        <f t="shared" si="81"/>
        <v>10</v>
      </c>
      <c r="E208" s="36">
        <f t="shared" si="81"/>
        <v>10</v>
      </c>
      <c r="F208" s="36">
        <f t="shared" si="81"/>
        <v>30</v>
      </c>
      <c r="G208" s="37">
        <f t="shared" si="81"/>
        <v>80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2">SUM(C200,C212)</f>
        <v>0</v>
      </c>
      <c r="D213" s="36">
        <f t="shared" si="82"/>
        <v>0</v>
      </c>
      <c r="E213" s="36">
        <f t="shared" si="82"/>
        <v>0</v>
      </c>
      <c r="F213" s="36">
        <f t="shared" si="82"/>
        <v>0</v>
      </c>
      <c r="G213" s="37">
        <f t="shared" si="82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3">SUM(C202,C214)</f>
        <v>0</v>
      </c>
      <c r="D215" s="36">
        <f t="shared" si="83"/>
        <v>0</v>
      </c>
      <c r="E215" s="36">
        <f t="shared" si="83"/>
        <v>0</v>
      </c>
      <c r="F215" s="36">
        <f t="shared" si="83"/>
        <v>0</v>
      </c>
      <c r="G215" s="37">
        <f t="shared" si="83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4">SUM(C204,C216)</f>
        <v>0</v>
      </c>
      <c r="D217" s="36">
        <f t="shared" si="84"/>
        <v>0</v>
      </c>
      <c r="E217" s="36">
        <f t="shared" si="84"/>
        <v>0</v>
      </c>
      <c r="F217" s="36">
        <f t="shared" si="84"/>
        <v>0</v>
      </c>
      <c r="G217" s="37">
        <f t="shared" si="84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4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5">SUM(C212,C214,C216,C218)</f>
        <v>0</v>
      </c>
      <c r="D220" s="33">
        <f>SUM(D212,D214,D216,D218)</f>
        <v>0</v>
      </c>
      <c r="E220" s="33">
        <f t="shared" si="85"/>
        <v>0</v>
      </c>
      <c r="F220" s="33">
        <f t="shared" si="85"/>
        <v>0</v>
      </c>
      <c r="G220" s="34">
        <f t="shared" si="85"/>
        <v>0</v>
      </c>
    </row>
    <row r="221" spans="2:7" ht="27.5" customHeight="1" thickBot="1">
      <c r="B221" s="35" t="s">
        <v>5</v>
      </c>
      <c r="C221" s="36">
        <f t="shared" ref="C221:G221" si="86">SUM(C208,C220)</f>
        <v>10</v>
      </c>
      <c r="D221" s="36">
        <f t="shared" si="86"/>
        <v>10</v>
      </c>
      <c r="E221" s="36">
        <f t="shared" si="86"/>
        <v>10</v>
      </c>
      <c r="F221" s="36">
        <f t="shared" si="86"/>
        <v>30</v>
      </c>
      <c r="G221" s="37">
        <f t="shared" si="86"/>
        <v>80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7">SUM(C213,C225)</f>
        <v>0</v>
      </c>
      <c r="D226" s="36">
        <f t="shared" si="87"/>
        <v>0</v>
      </c>
      <c r="E226" s="36">
        <f t="shared" si="87"/>
        <v>0</v>
      </c>
      <c r="F226" s="36">
        <f t="shared" si="87"/>
        <v>0</v>
      </c>
      <c r="G226" s="37">
        <f t="shared" si="87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88">SUM(C215,C227)</f>
        <v>0</v>
      </c>
      <c r="D228" s="36">
        <f t="shared" si="88"/>
        <v>0</v>
      </c>
      <c r="E228" s="36">
        <f t="shared" si="88"/>
        <v>0</v>
      </c>
      <c r="F228" s="36">
        <f t="shared" si="88"/>
        <v>0</v>
      </c>
      <c r="G228" s="37">
        <f t="shared" si="88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89">SUM(C217,C229)</f>
        <v>0</v>
      </c>
      <c r="D230" s="36">
        <f t="shared" si="89"/>
        <v>0</v>
      </c>
      <c r="E230" s="36">
        <f t="shared" si="89"/>
        <v>0</v>
      </c>
      <c r="F230" s="36">
        <f t="shared" si="89"/>
        <v>0</v>
      </c>
      <c r="G230" s="37">
        <f t="shared" si="89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0">SUM(C219,C231)</f>
        <v>0</v>
      </c>
      <c r="D232" s="36">
        <f t="shared" si="90"/>
        <v>0</v>
      </c>
      <c r="E232" s="36">
        <f t="shared" si="90"/>
        <v>0</v>
      </c>
      <c r="F232" s="36">
        <f t="shared" si="90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1">SUM(C225,C227,C229,C231)</f>
        <v>0</v>
      </c>
      <c r="D233" s="33">
        <f t="shared" si="91"/>
        <v>0</v>
      </c>
      <c r="E233" s="33">
        <f t="shared" si="91"/>
        <v>0</v>
      </c>
      <c r="F233" s="33">
        <f t="shared" si="91"/>
        <v>0</v>
      </c>
      <c r="G233" s="34">
        <f t="shared" si="91"/>
        <v>0</v>
      </c>
    </row>
    <row r="234" spans="2:7" ht="27.5" customHeight="1" thickBot="1">
      <c r="B234" s="35" t="s">
        <v>5</v>
      </c>
      <c r="C234" s="36">
        <f t="shared" ref="C234:G234" si="92">SUM(C221,C233)</f>
        <v>10</v>
      </c>
      <c r="D234" s="36">
        <f t="shared" si="92"/>
        <v>10</v>
      </c>
      <c r="E234" s="36">
        <f t="shared" si="92"/>
        <v>10</v>
      </c>
      <c r="F234" s="36">
        <f t="shared" si="92"/>
        <v>30</v>
      </c>
      <c r="G234" s="37">
        <f t="shared" si="92"/>
        <v>80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3">SUM(C226,C238)</f>
        <v>0</v>
      </c>
      <c r="D239" s="36">
        <f t="shared" si="93"/>
        <v>0</v>
      </c>
      <c r="E239" s="36">
        <f t="shared" si="93"/>
        <v>0</v>
      </c>
      <c r="F239" s="36">
        <f t="shared" si="93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4">SUM(C228,C240)</f>
        <v>0</v>
      </c>
      <c r="D241" s="36">
        <f t="shared" si="94"/>
        <v>0</v>
      </c>
      <c r="E241" s="36">
        <f t="shared" si="94"/>
        <v>0</v>
      </c>
      <c r="F241" s="36">
        <f t="shared" si="94"/>
        <v>0</v>
      </c>
      <c r="G241" s="37">
        <f t="shared" si="94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5">SUM(D230,D242)</f>
        <v>0</v>
      </c>
      <c r="E243" s="36">
        <f t="shared" si="95"/>
        <v>0</v>
      </c>
      <c r="F243" s="36">
        <f t="shared" si="95"/>
        <v>0</v>
      </c>
      <c r="G243" s="37">
        <f t="shared" si="95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6">SUM(C232,C244)</f>
        <v>0</v>
      </c>
      <c r="D245" s="36">
        <f t="shared" si="96"/>
        <v>0</v>
      </c>
      <c r="E245" s="36">
        <f t="shared" si="96"/>
        <v>0</v>
      </c>
      <c r="F245" s="36">
        <f t="shared" si="96"/>
        <v>0</v>
      </c>
      <c r="G245" s="37">
        <f t="shared" si="96"/>
        <v>0</v>
      </c>
    </row>
    <row r="246" spans="2:7" ht="27.5" customHeight="1">
      <c r="B246" s="32" t="s">
        <v>4</v>
      </c>
      <c r="C246" s="33">
        <f t="shared" ref="C246:G246" si="97">SUM(C238,C240,C242,C244)</f>
        <v>0</v>
      </c>
      <c r="D246" s="33">
        <f t="shared" si="97"/>
        <v>0</v>
      </c>
      <c r="E246" s="33">
        <f t="shared" si="97"/>
        <v>0</v>
      </c>
      <c r="F246" s="33">
        <f t="shared" si="97"/>
        <v>0</v>
      </c>
      <c r="G246" s="34">
        <f t="shared" si="97"/>
        <v>0</v>
      </c>
    </row>
    <row r="247" spans="2:7" ht="27.5" customHeight="1" thickBot="1">
      <c r="B247" s="35" t="s">
        <v>5</v>
      </c>
      <c r="C247" s="36">
        <f t="shared" ref="C247:G247" si="98">SUM(C234,C246)</f>
        <v>10</v>
      </c>
      <c r="D247" s="36">
        <f t="shared" si="98"/>
        <v>10</v>
      </c>
      <c r="E247" s="36">
        <f t="shared" si="98"/>
        <v>10</v>
      </c>
      <c r="F247" s="36">
        <f t="shared" si="98"/>
        <v>30</v>
      </c>
      <c r="G247" s="37">
        <f t="shared" si="98"/>
        <v>80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99">SUM(C239,C251)</f>
        <v>0</v>
      </c>
      <c r="D252" s="36">
        <f t="shared" si="99"/>
        <v>0</v>
      </c>
      <c r="E252" s="36">
        <f t="shared" si="99"/>
        <v>0</v>
      </c>
      <c r="F252" s="36">
        <f t="shared" si="99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0">SUM(C241,C253)</f>
        <v>0</v>
      </c>
      <c r="D254" s="36">
        <f t="shared" si="100"/>
        <v>0</v>
      </c>
      <c r="E254" s="36">
        <f t="shared" si="100"/>
        <v>0</v>
      </c>
      <c r="F254" s="36">
        <f t="shared" si="100"/>
        <v>0</v>
      </c>
      <c r="G254" s="37">
        <f t="shared" si="100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1">SUM(D243,D255)</f>
        <v>0</v>
      </c>
      <c r="E256" s="36">
        <f t="shared" si="101"/>
        <v>0</v>
      </c>
      <c r="F256" s="36">
        <f t="shared" si="101"/>
        <v>0</v>
      </c>
      <c r="G256" s="37">
        <f t="shared" si="101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2">SUM(C245,C257)</f>
        <v>0</v>
      </c>
      <c r="D258" s="36">
        <f t="shared" si="102"/>
        <v>0</v>
      </c>
      <c r="E258" s="36">
        <f t="shared" si="102"/>
        <v>0</v>
      </c>
      <c r="F258" s="36">
        <f t="shared" si="102"/>
        <v>0</v>
      </c>
      <c r="G258" s="37">
        <f t="shared" si="102"/>
        <v>0</v>
      </c>
    </row>
    <row r="259" spans="2:7" ht="27.5" customHeight="1">
      <c r="B259" s="32" t="s">
        <v>4</v>
      </c>
      <c r="C259" s="33">
        <f t="shared" ref="C259:G259" si="103">SUM(C251,C253,C255,C257)</f>
        <v>0</v>
      </c>
      <c r="D259" s="33">
        <f t="shared" si="103"/>
        <v>0</v>
      </c>
      <c r="E259" s="33">
        <f t="shared" si="103"/>
        <v>0</v>
      </c>
      <c r="F259" s="33">
        <f t="shared" si="103"/>
        <v>0</v>
      </c>
      <c r="G259" s="34">
        <f t="shared" si="103"/>
        <v>0</v>
      </c>
    </row>
    <row r="260" spans="2:7" ht="27.5" customHeight="1" thickBot="1">
      <c r="B260" s="35" t="s">
        <v>5</v>
      </c>
      <c r="C260" s="36">
        <f t="shared" ref="C260:G260" si="104">SUM(C247,C259)</f>
        <v>10</v>
      </c>
      <c r="D260" s="36">
        <f t="shared" si="104"/>
        <v>10</v>
      </c>
      <c r="E260" s="36">
        <f t="shared" si="104"/>
        <v>10</v>
      </c>
      <c r="F260" s="36">
        <f t="shared" si="104"/>
        <v>30</v>
      </c>
      <c r="G260" s="37">
        <f t="shared" si="104"/>
        <v>80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5">SUM(C252,C264)</f>
        <v>0</v>
      </c>
      <c r="D265" s="36">
        <f t="shared" si="105"/>
        <v>0</v>
      </c>
      <c r="E265" s="36">
        <f t="shared" si="105"/>
        <v>0</v>
      </c>
      <c r="F265" s="36">
        <f t="shared" si="105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6">SUM(C254,C266)</f>
        <v>0</v>
      </c>
      <c r="D267" s="36">
        <f t="shared" si="106"/>
        <v>0</v>
      </c>
      <c r="E267" s="36">
        <f t="shared" si="106"/>
        <v>0</v>
      </c>
      <c r="F267" s="36">
        <f t="shared" si="106"/>
        <v>0</v>
      </c>
      <c r="G267" s="37">
        <f t="shared" si="106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7">SUM(D256,D268)</f>
        <v>0</v>
      </c>
      <c r="E269" s="36">
        <f t="shared" si="107"/>
        <v>0</v>
      </c>
      <c r="F269" s="36">
        <f t="shared" si="107"/>
        <v>0</v>
      </c>
      <c r="G269" s="37">
        <f t="shared" si="107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08">SUM(C258,C270)</f>
        <v>0</v>
      </c>
      <c r="D271" s="36">
        <f t="shared" si="108"/>
        <v>0</v>
      </c>
      <c r="E271" s="36">
        <f t="shared" si="108"/>
        <v>0</v>
      </c>
      <c r="F271" s="36">
        <f t="shared" si="108"/>
        <v>0</v>
      </c>
      <c r="G271" s="37">
        <f t="shared" si="108"/>
        <v>0</v>
      </c>
    </row>
    <row r="272" spans="2:7" ht="27.5" customHeight="1">
      <c r="B272" s="32" t="s">
        <v>4</v>
      </c>
      <c r="C272" s="33">
        <f t="shared" ref="C272:G272" si="109">SUM(C264,C266,C268,C270)</f>
        <v>0</v>
      </c>
      <c r="D272" s="33">
        <f t="shared" si="109"/>
        <v>0</v>
      </c>
      <c r="E272" s="33">
        <f t="shared" si="109"/>
        <v>0</v>
      </c>
      <c r="F272" s="33">
        <f t="shared" si="109"/>
        <v>0</v>
      </c>
      <c r="G272" s="34">
        <f t="shared" si="109"/>
        <v>0</v>
      </c>
    </row>
    <row r="273" spans="2:7" ht="27.5" customHeight="1" thickBot="1">
      <c r="B273" s="35" t="s">
        <v>5</v>
      </c>
      <c r="C273" s="36">
        <f t="shared" ref="C273:G273" si="110">SUM(C260,C272)</f>
        <v>10</v>
      </c>
      <c r="D273" s="36">
        <f t="shared" si="110"/>
        <v>10</v>
      </c>
      <c r="E273" s="36">
        <f t="shared" si="110"/>
        <v>10</v>
      </c>
      <c r="F273" s="36">
        <f t="shared" si="110"/>
        <v>30</v>
      </c>
      <c r="G273" s="37">
        <f t="shared" si="110"/>
        <v>80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1">SUM(C265,C277)</f>
        <v>0</v>
      </c>
      <c r="D278" s="36">
        <f t="shared" si="111"/>
        <v>0</v>
      </c>
      <c r="E278" s="36">
        <f t="shared" si="111"/>
        <v>0</v>
      </c>
      <c r="F278" s="36">
        <f t="shared" si="111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2">SUM(C267,C279)</f>
        <v>0</v>
      </c>
      <c r="D280" s="36">
        <f t="shared" si="112"/>
        <v>0</v>
      </c>
      <c r="E280" s="36">
        <f t="shared" si="112"/>
        <v>0</v>
      </c>
      <c r="F280" s="36">
        <f t="shared" si="112"/>
        <v>0</v>
      </c>
      <c r="G280" s="37">
        <f t="shared" si="112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3">SUM(D269,D281)</f>
        <v>0</v>
      </c>
      <c r="E282" s="36">
        <f t="shared" si="113"/>
        <v>0</v>
      </c>
      <c r="F282" s="36">
        <f t="shared" si="113"/>
        <v>0</v>
      </c>
      <c r="G282" s="37">
        <f t="shared" si="113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4">SUM(C271,C283)</f>
        <v>0</v>
      </c>
      <c r="D284" s="36">
        <f t="shared" si="114"/>
        <v>0</v>
      </c>
      <c r="E284" s="36">
        <f t="shared" si="114"/>
        <v>0</v>
      </c>
      <c r="F284" s="36">
        <f t="shared" si="114"/>
        <v>0</v>
      </c>
      <c r="G284" s="37">
        <f t="shared" si="114"/>
        <v>0</v>
      </c>
    </row>
    <row r="285" spans="2:7" ht="27.5" customHeight="1">
      <c r="B285" s="32" t="s">
        <v>4</v>
      </c>
      <c r="C285" s="33">
        <f t="shared" ref="C285:G285" si="115">SUM(C277,C279,C281,C283)</f>
        <v>0</v>
      </c>
      <c r="D285" s="33">
        <f t="shared" si="115"/>
        <v>0</v>
      </c>
      <c r="E285" s="33">
        <f t="shared" si="115"/>
        <v>0</v>
      </c>
      <c r="F285" s="33">
        <f t="shared" si="115"/>
        <v>0</v>
      </c>
      <c r="G285" s="34">
        <f t="shared" si="115"/>
        <v>0</v>
      </c>
    </row>
    <row r="286" spans="2:7" ht="27.5" customHeight="1" thickBot="1">
      <c r="B286" s="35" t="s">
        <v>5</v>
      </c>
      <c r="C286" s="36">
        <f t="shared" ref="C286:G286" si="116">SUM(C273,C285)</f>
        <v>10</v>
      </c>
      <c r="D286" s="36">
        <f t="shared" si="116"/>
        <v>10</v>
      </c>
      <c r="E286" s="36">
        <f t="shared" si="116"/>
        <v>10</v>
      </c>
      <c r="F286" s="36">
        <f t="shared" si="116"/>
        <v>30</v>
      </c>
      <c r="G286" s="37">
        <f t="shared" si="116"/>
        <v>80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7">SUM(C278,C290)</f>
        <v>0</v>
      </c>
      <c r="D291" s="36">
        <f t="shared" si="117"/>
        <v>0</v>
      </c>
      <c r="E291" s="36">
        <f t="shared" si="117"/>
        <v>0</v>
      </c>
      <c r="F291" s="36">
        <f t="shared" si="117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18">SUM(C280,C292)</f>
        <v>0</v>
      </c>
      <c r="D293" s="36">
        <f t="shared" si="118"/>
        <v>0</v>
      </c>
      <c r="E293" s="36">
        <f t="shared" si="118"/>
        <v>0</v>
      </c>
      <c r="F293" s="36">
        <f t="shared" si="118"/>
        <v>0</v>
      </c>
      <c r="G293" s="37">
        <f t="shared" si="118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19">SUM(D282,D294)</f>
        <v>0</v>
      </c>
      <c r="E295" s="36">
        <f t="shared" si="119"/>
        <v>0</v>
      </c>
      <c r="F295" s="36">
        <f t="shared" si="119"/>
        <v>0</v>
      </c>
      <c r="G295" s="37">
        <f t="shared" si="119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0">SUM(C284,C296)</f>
        <v>0</v>
      </c>
      <c r="D297" s="36">
        <f t="shared" si="120"/>
        <v>0</v>
      </c>
      <c r="E297" s="36">
        <f t="shared" si="120"/>
        <v>0</v>
      </c>
      <c r="F297" s="36">
        <f t="shared" si="120"/>
        <v>0</v>
      </c>
      <c r="G297" s="37">
        <f t="shared" si="120"/>
        <v>0</v>
      </c>
    </row>
    <row r="298" spans="2:7" ht="27.5" customHeight="1">
      <c r="B298" s="32" t="s">
        <v>4</v>
      </c>
      <c r="C298" s="33">
        <f t="shared" ref="C298:G298" si="121">SUM(C290,C292,C294,C296)</f>
        <v>0</v>
      </c>
      <c r="D298" s="33">
        <f t="shared" si="121"/>
        <v>0</v>
      </c>
      <c r="E298" s="33">
        <f t="shared" si="121"/>
        <v>0</v>
      </c>
      <c r="F298" s="33">
        <f t="shared" si="121"/>
        <v>0</v>
      </c>
      <c r="G298" s="34">
        <f t="shared" si="121"/>
        <v>0</v>
      </c>
    </row>
    <row r="299" spans="2:7" ht="27.5" customHeight="1" thickBot="1">
      <c r="B299" s="35" t="s">
        <v>5</v>
      </c>
      <c r="C299" s="36">
        <f t="shared" ref="C299:G299" si="122">SUM(C286,C298)</f>
        <v>10</v>
      </c>
      <c r="D299" s="36">
        <f t="shared" si="122"/>
        <v>10</v>
      </c>
      <c r="E299" s="36">
        <f t="shared" si="122"/>
        <v>10</v>
      </c>
      <c r="F299" s="36">
        <f t="shared" si="122"/>
        <v>30</v>
      </c>
      <c r="G299" s="37">
        <f t="shared" si="122"/>
        <v>80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3">SUM(C291,C303)</f>
        <v>0</v>
      </c>
      <c r="D304" s="36">
        <f t="shared" si="123"/>
        <v>0</v>
      </c>
      <c r="E304" s="36">
        <f t="shared" si="123"/>
        <v>0</v>
      </c>
      <c r="F304" s="36">
        <f t="shared" si="123"/>
        <v>0</v>
      </c>
      <c r="G304" s="37">
        <f t="shared" si="123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4">SUM(C293,C305)</f>
        <v>0</v>
      </c>
      <c r="D306" s="36">
        <f t="shared" si="124"/>
        <v>0</v>
      </c>
      <c r="E306" s="36">
        <f t="shared" si="124"/>
        <v>0</v>
      </c>
      <c r="F306" s="36">
        <f t="shared" si="124"/>
        <v>0</v>
      </c>
      <c r="G306" s="37">
        <f t="shared" si="124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5">SUM(D295,D307)</f>
        <v>0</v>
      </c>
      <c r="E308" s="36">
        <f t="shared" si="125"/>
        <v>0</v>
      </c>
      <c r="F308" s="36">
        <f t="shared" si="125"/>
        <v>0</v>
      </c>
      <c r="G308" s="37">
        <f t="shared" si="125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6">SUM(C297,C309)</f>
        <v>0</v>
      </c>
      <c r="D310" s="36">
        <f t="shared" si="126"/>
        <v>0</v>
      </c>
      <c r="E310" s="36">
        <f t="shared" si="126"/>
        <v>0</v>
      </c>
      <c r="F310" s="36">
        <f t="shared" si="126"/>
        <v>0</v>
      </c>
      <c r="G310" s="37">
        <f t="shared" si="126"/>
        <v>0</v>
      </c>
    </row>
    <row r="311" spans="2:7" ht="27.5" customHeight="1">
      <c r="B311" s="32" t="s">
        <v>4</v>
      </c>
      <c r="C311" s="33">
        <f t="shared" ref="C311:G311" si="127">SUM(C303,C305,C307,C309)</f>
        <v>0</v>
      </c>
      <c r="D311" s="33">
        <f t="shared" si="127"/>
        <v>0</v>
      </c>
      <c r="E311" s="33">
        <f t="shared" si="127"/>
        <v>0</v>
      </c>
      <c r="F311" s="33">
        <f t="shared" si="127"/>
        <v>0</v>
      </c>
      <c r="G311" s="34">
        <f t="shared" si="127"/>
        <v>0</v>
      </c>
    </row>
    <row r="312" spans="2:7" ht="27.5" customHeight="1" thickBot="1">
      <c r="B312" s="35" t="s">
        <v>5</v>
      </c>
      <c r="C312" s="36">
        <f t="shared" ref="C312:G312" si="128">SUM(C299,C311)</f>
        <v>10</v>
      </c>
      <c r="D312" s="36">
        <f t="shared" si="128"/>
        <v>10</v>
      </c>
      <c r="E312" s="36">
        <f t="shared" si="128"/>
        <v>10</v>
      </c>
      <c r="F312" s="36">
        <f t="shared" si="128"/>
        <v>30</v>
      </c>
      <c r="G312" s="37">
        <f t="shared" si="128"/>
        <v>80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29">SUM(C304,C316)</f>
        <v>0</v>
      </c>
      <c r="D317" s="36">
        <f t="shared" si="129"/>
        <v>0</v>
      </c>
      <c r="E317" s="36">
        <f t="shared" si="129"/>
        <v>0</v>
      </c>
      <c r="F317" s="36">
        <f t="shared" si="129"/>
        <v>0</v>
      </c>
      <c r="G317" s="37">
        <f t="shared" si="129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0">SUM(C306,C318)</f>
        <v>0</v>
      </c>
      <c r="D319" s="36">
        <f t="shared" si="130"/>
        <v>0</v>
      </c>
      <c r="E319" s="36">
        <f t="shared" si="130"/>
        <v>0</v>
      </c>
      <c r="F319" s="36">
        <f t="shared" si="130"/>
        <v>0</v>
      </c>
      <c r="G319" s="37">
        <f t="shared" si="130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1">SUM(D308,D320)</f>
        <v>0</v>
      </c>
      <c r="E321" s="36">
        <f t="shared" si="131"/>
        <v>0</v>
      </c>
      <c r="F321" s="36">
        <f t="shared" si="131"/>
        <v>0</v>
      </c>
      <c r="G321" s="37">
        <f t="shared" si="131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2">SUM(C310,C322)</f>
        <v>0</v>
      </c>
      <c r="D323" s="36">
        <f t="shared" si="132"/>
        <v>0</v>
      </c>
      <c r="E323" s="36">
        <f t="shared" si="132"/>
        <v>0</v>
      </c>
      <c r="F323" s="36">
        <f t="shared" si="132"/>
        <v>0</v>
      </c>
      <c r="G323" s="37">
        <f t="shared" si="132"/>
        <v>0</v>
      </c>
    </row>
    <row r="324" spans="2:7" ht="27.5" customHeight="1">
      <c r="B324" s="32" t="s">
        <v>4</v>
      </c>
      <c r="C324" s="33">
        <f t="shared" ref="C324:G324" si="133">SUM(C316,C318,C320,C322)</f>
        <v>0</v>
      </c>
      <c r="D324" s="33">
        <f t="shared" si="133"/>
        <v>0</v>
      </c>
      <c r="E324" s="33">
        <f t="shared" si="133"/>
        <v>0</v>
      </c>
      <c r="F324" s="33">
        <f t="shared" si="133"/>
        <v>0</v>
      </c>
      <c r="G324" s="34">
        <f t="shared" si="133"/>
        <v>0</v>
      </c>
    </row>
    <row r="325" spans="2:7" ht="27.5" customHeight="1" thickBot="1">
      <c r="B325" s="35" t="s">
        <v>5</v>
      </c>
      <c r="C325" s="36">
        <f t="shared" ref="C325:G325" si="134">SUM(C312,C324)</f>
        <v>10</v>
      </c>
      <c r="D325" s="36">
        <f t="shared" si="134"/>
        <v>10</v>
      </c>
      <c r="E325" s="36">
        <f t="shared" si="134"/>
        <v>10</v>
      </c>
      <c r="F325" s="36">
        <f t="shared" si="134"/>
        <v>30</v>
      </c>
      <c r="G325" s="37">
        <f t="shared" si="134"/>
        <v>80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5">SUM(C317,C329)</f>
        <v>0</v>
      </c>
      <c r="D330" s="36">
        <f t="shared" si="135"/>
        <v>0</v>
      </c>
      <c r="E330" s="36">
        <f t="shared" si="135"/>
        <v>0</v>
      </c>
      <c r="F330" s="36">
        <f t="shared" si="135"/>
        <v>0</v>
      </c>
      <c r="G330" s="37">
        <f t="shared" si="135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6">SUM(C319,C331)</f>
        <v>0</v>
      </c>
      <c r="D332" s="36">
        <f t="shared" si="136"/>
        <v>0</v>
      </c>
      <c r="E332" s="36">
        <f t="shared" si="136"/>
        <v>0</v>
      </c>
      <c r="F332" s="36">
        <f t="shared" si="136"/>
        <v>0</v>
      </c>
      <c r="G332" s="37">
        <f t="shared" si="136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7">SUM(D321,D333)</f>
        <v>0</v>
      </c>
      <c r="E334" s="36">
        <f t="shared" si="137"/>
        <v>0</v>
      </c>
      <c r="F334" s="36">
        <f t="shared" si="137"/>
        <v>0</v>
      </c>
      <c r="G334" s="37">
        <f t="shared" si="137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38">SUM(C323,C335)</f>
        <v>0</v>
      </c>
      <c r="D336" s="36">
        <f t="shared" si="138"/>
        <v>0</v>
      </c>
      <c r="E336" s="36">
        <f t="shared" si="138"/>
        <v>0</v>
      </c>
      <c r="F336" s="36">
        <f t="shared" si="138"/>
        <v>0</v>
      </c>
      <c r="G336" s="37">
        <f t="shared" si="138"/>
        <v>0</v>
      </c>
    </row>
    <row r="337" spans="2:7" ht="27.5" customHeight="1">
      <c r="B337" s="32" t="s">
        <v>4</v>
      </c>
      <c r="C337" s="33">
        <f t="shared" ref="C337:G337" si="139">SUM(C329,C331,C333,C335)</f>
        <v>0</v>
      </c>
      <c r="D337" s="33">
        <f t="shared" si="139"/>
        <v>0</v>
      </c>
      <c r="E337" s="33">
        <f t="shared" si="139"/>
        <v>0</v>
      </c>
      <c r="F337" s="33">
        <f t="shared" si="139"/>
        <v>0</v>
      </c>
      <c r="G337" s="34">
        <f t="shared" si="139"/>
        <v>0</v>
      </c>
    </row>
    <row r="338" spans="2:7" ht="27.5" customHeight="1" thickBot="1">
      <c r="B338" s="35" t="s">
        <v>5</v>
      </c>
      <c r="C338" s="36">
        <f t="shared" ref="C338:G338" si="140">SUM(C325,C337)</f>
        <v>10</v>
      </c>
      <c r="D338" s="36">
        <f t="shared" si="140"/>
        <v>10</v>
      </c>
      <c r="E338" s="36">
        <f t="shared" si="140"/>
        <v>10</v>
      </c>
      <c r="F338" s="36">
        <f t="shared" si="140"/>
        <v>30</v>
      </c>
      <c r="G338" s="37">
        <f t="shared" si="140"/>
        <v>80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1">SUM(C330,C342)</f>
        <v>0</v>
      </c>
      <c r="D343" s="36">
        <f t="shared" si="141"/>
        <v>0</v>
      </c>
      <c r="E343" s="36">
        <f t="shared" si="141"/>
        <v>0</v>
      </c>
      <c r="F343" s="36">
        <f t="shared" si="141"/>
        <v>0</v>
      </c>
      <c r="G343" s="37">
        <f t="shared" si="141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2">SUM(C332,C344)</f>
        <v>0</v>
      </c>
      <c r="D345" s="36">
        <f t="shared" si="142"/>
        <v>0</v>
      </c>
      <c r="E345" s="36">
        <f t="shared" si="142"/>
        <v>0</v>
      </c>
      <c r="F345" s="36">
        <f t="shared" si="142"/>
        <v>0</v>
      </c>
      <c r="G345" s="37">
        <f t="shared" si="142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3">SUM(D334,D346)</f>
        <v>0</v>
      </c>
      <c r="E347" s="36">
        <f t="shared" si="143"/>
        <v>0</v>
      </c>
      <c r="F347" s="36">
        <f t="shared" si="143"/>
        <v>0</v>
      </c>
      <c r="G347" s="37">
        <f t="shared" si="143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4">SUM(C336,C348)</f>
        <v>0</v>
      </c>
      <c r="D349" s="36">
        <f t="shared" si="144"/>
        <v>0</v>
      </c>
      <c r="E349" s="36">
        <f t="shared" si="144"/>
        <v>0</v>
      </c>
      <c r="F349" s="36">
        <f t="shared" si="144"/>
        <v>0</v>
      </c>
      <c r="G349" s="37">
        <f t="shared" si="144"/>
        <v>0</v>
      </c>
    </row>
    <row r="350" spans="2:7" ht="27.5" customHeight="1">
      <c r="B350" s="32" t="s">
        <v>4</v>
      </c>
      <c r="C350" s="33">
        <f t="shared" ref="C350:G350" si="145">SUM(C342,C344,C346,C348)</f>
        <v>0</v>
      </c>
      <c r="D350" s="33">
        <f t="shared" si="145"/>
        <v>0</v>
      </c>
      <c r="E350" s="33">
        <f t="shared" si="145"/>
        <v>0</v>
      </c>
      <c r="F350" s="33">
        <f t="shared" si="145"/>
        <v>0</v>
      </c>
      <c r="G350" s="34">
        <f t="shared" si="145"/>
        <v>0</v>
      </c>
    </row>
    <row r="351" spans="2:7" ht="27.5" customHeight="1" thickBot="1">
      <c r="B351" s="35" t="s">
        <v>5</v>
      </c>
      <c r="C351" s="36">
        <f t="shared" ref="C351:G351" si="146">SUM(C338,C350)</f>
        <v>10</v>
      </c>
      <c r="D351" s="36">
        <f t="shared" si="146"/>
        <v>10</v>
      </c>
      <c r="E351" s="36">
        <f t="shared" si="146"/>
        <v>10</v>
      </c>
      <c r="F351" s="36">
        <f t="shared" si="146"/>
        <v>30</v>
      </c>
      <c r="G351" s="37">
        <f t="shared" si="146"/>
        <v>80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7">SUM(C343,C355)</f>
        <v>0</v>
      </c>
      <c r="D356" s="36">
        <f t="shared" si="147"/>
        <v>0</v>
      </c>
      <c r="E356" s="36">
        <f t="shared" si="147"/>
        <v>0</v>
      </c>
      <c r="F356" s="36">
        <f t="shared" si="147"/>
        <v>0</v>
      </c>
      <c r="G356" s="37">
        <f t="shared" si="147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48">SUM(C345,C357)</f>
        <v>0</v>
      </c>
      <c r="D358" s="36">
        <f t="shared" si="148"/>
        <v>0</v>
      </c>
      <c r="E358" s="36">
        <f t="shared" si="148"/>
        <v>0</v>
      </c>
      <c r="F358" s="36">
        <f t="shared" si="148"/>
        <v>0</v>
      </c>
      <c r="G358" s="37">
        <f t="shared" si="148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49">SUM(D347,D359)</f>
        <v>0</v>
      </c>
      <c r="E360" s="36">
        <f t="shared" si="149"/>
        <v>0</v>
      </c>
      <c r="F360" s="36">
        <f t="shared" si="149"/>
        <v>0</v>
      </c>
      <c r="G360" s="37">
        <f t="shared" si="149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0">SUM(C349,C361)</f>
        <v>0</v>
      </c>
      <c r="D362" s="36">
        <f t="shared" si="150"/>
        <v>0</v>
      </c>
      <c r="E362" s="36">
        <f t="shared" si="150"/>
        <v>0</v>
      </c>
      <c r="F362" s="36">
        <f t="shared" si="150"/>
        <v>0</v>
      </c>
      <c r="G362" s="37">
        <f t="shared" si="150"/>
        <v>0</v>
      </c>
    </row>
    <row r="363" spans="2:7" ht="27.5" customHeight="1">
      <c r="B363" s="32" t="s">
        <v>4</v>
      </c>
      <c r="C363" s="33">
        <f t="shared" ref="C363:G363" si="151">SUM(C355,C357,C359,C361)</f>
        <v>0</v>
      </c>
      <c r="D363" s="33">
        <f t="shared" si="151"/>
        <v>0</v>
      </c>
      <c r="E363" s="33">
        <f t="shared" si="151"/>
        <v>0</v>
      </c>
      <c r="F363" s="33">
        <f t="shared" si="151"/>
        <v>0</v>
      </c>
      <c r="G363" s="34">
        <f t="shared" si="151"/>
        <v>0</v>
      </c>
    </row>
    <row r="364" spans="2:7" ht="27.5" customHeight="1" thickBot="1">
      <c r="B364" s="35" t="s">
        <v>5</v>
      </c>
      <c r="C364" s="36">
        <f t="shared" ref="C364:G364" si="152">SUM(C351,C363)</f>
        <v>10</v>
      </c>
      <c r="D364" s="36">
        <f t="shared" si="152"/>
        <v>10</v>
      </c>
      <c r="E364" s="36">
        <f t="shared" si="152"/>
        <v>10</v>
      </c>
      <c r="F364" s="36">
        <f t="shared" si="152"/>
        <v>30</v>
      </c>
      <c r="G364" s="37">
        <f t="shared" si="152"/>
        <v>80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3">SUM(C356,C368)</f>
        <v>0</v>
      </c>
      <c r="D369" s="36">
        <f t="shared" si="153"/>
        <v>0</v>
      </c>
      <c r="E369" s="36">
        <f t="shared" si="153"/>
        <v>0</v>
      </c>
      <c r="F369" s="36">
        <f t="shared" si="153"/>
        <v>0</v>
      </c>
      <c r="G369" s="37">
        <f t="shared" si="153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4">SUM(C358,C370)</f>
        <v>0</v>
      </c>
      <c r="D371" s="36">
        <f t="shared" si="154"/>
        <v>0</v>
      </c>
      <c r="E371" s="36">
        <f t="shared" si="154"/>
        <v>0</v>
      </c>
      <c r="F371" s="36">
        <f t="shared" si="154"/>
        <v>0</v>
      </c>
      <c r="G371" s="37">
        <f t="shared" si="154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5">SUM(D360,D372)</f>
        <v>0</v>
      </c>
      <c r="E373" s="36">
        <f t="shared" si="155"/>
        <v>0</v>
      </c>
      <c r="F373" s="36">
        <f t="shared" si="155"/>
        <v>0</v>
      </c>
      <c r="G373" s="37">
        <f t="shared" si="155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6">SUM(C362,C374)</f>
        <v>0</v>
      </c>
      <c r="D375" s="36">
        <f t="shared" si="156"/>
        <v>0</v>
      </c>
      <c r="E375" s="36">
        <f t="shared" si="156"/>
        <v>0</v>
      </c>
      <c r="F375" s="36">
        <f t="shared" si="156"/>
        <v>0</v>
      </c>
      <c r="G375" s="37">
        <f t="shared" si="156"/>
        <v>0</v>
      </c>
    </row>
    <row r="376" spans="2:7" ht="27.5" customHeight="1">
      <c r="B376" s="32" t="s">
        <v>4</v>
      </c>
      <c r="C376" s="33">
        <f t="shared" ref="C376:G376" si="157">SUM(C368,C370,C372,C374)</f>
        <v>0</v>
      </c>
      <c r="D376" s="33">
        <f t="shared" si="157"/>
        <v>0</v>
      </c>
      <c r="E376" s="33">
        <f t="shared" si="157"/>
        <v>0</v>
      </c>
      <c r="F376" s="33">
        <f t="shared" si="157"/>
        <v>0</v>
      </c>
      <c r="G376" s="34">
        <f t="shared" si="157"/>
        <v>0</v>
      </c>
    </row>
    <row r="377" spans="2:7" ht="27.5" customHeight="1" thickBot="1">
      <c r="B377" s="35" t="s">
        <v>5</v>
      </c>
      <c r="C377" s="36">
        <f t="shared" ref="C377:G377" si="158">SUM(C364,C376)</f>
        <v>10</v>
      </c>
      <c r="D377" s="36">
        <f t="shared" si="158"/>
        <v>10</v>
      </c>
      <c r="E377" s="36">
        <f t="shared" si="158"/>
        <v>10</v>
      </c>
      <c r="F377" s="36">
        <f t="shared" si="158"/>
        <v>30</v>
      </c>
      <c r="G377" s="37">
        <f t="shared" si="158"/>
        <v>80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59">SUM(C369,C381)</f>
        <v>0</v>
      </c>
      <c r="D382" s="36">
        <f t="shared" si="159"/>
        <v>0</v>
      </c>
      <c r="E382" s="36">
        <f t="shared" si="159"/>
        <v>0</v>
      </c>
      <c r="F382" s="36">
        <f t="shared" si="159"/>
        <v>0</v>
      </c>
      <c r="G382" s="37">
        <f t="shared" si="159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0">SUM(C371,C383)</f>
        <v>0</v>
      </c>
      <c r="D384" s="36">
        <f t="shared" si="160"/>
        <v>0</v>
      </c>
      <c r="E384" s="36">
        <f t="shared" si="160"/>
        <v>0</v>
      </c>
      <c r="F384" s="36">
        <f t="shared" si="160"/>
        <v>0</v>
      </c>
      <c r="G384" s="37">
        <f t="shared" si="160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1">SUM(D373,D385)</f>
        <v>0</v>
      </c>
      <c r="E386" s="36">
        <f t="shared" si="161"/>
        <v>0</v>
      </c>
      <c r="F386" s="36">
        <f t="shared" si="161"/>
        <v>0</v>
      </c>
      <c r="G386" s="37">
        <f t="shared" si="161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2">SUM(C375,C387)</f>
        <v>0</v>
      </c>
      <c r="D388" s="36">
        <f t="shared" si="162"/>
        <v>0</v>
      </c>
      <c r="E388" s="36">
        <f t="shared" si="162"/>
        <v>0</v>
      </c>
      <c r="F388" s="36">
        <f t="shared" si="162"/>
        <v>0</v>
      </c>
      <c r="G388" s="37">
        <f t="shared" si="162"/>
        <v>0</v>
      </c>
    </row>
    <row r="389" spans="2:7" ht="27.5" customHeight="1">
      <c r="B389" s="32" t="s">
        <v>4</v>
      </c>
      <c r="C389" s="33">
        <f t="shared" ref="C389:G389" si="163">SUM(C381,C383,C385,C387)</f>
        <v>0</v>
      </c>
      <c r="D389" s="33">
        <f t="shared" si="163"/>
        <v>0</v>
      </c>
      <c r="E389" s="33">
        <f t="shared" si="163"/>
        <v>0</v>
      </c>
      <c r="F389" s="33">
        <f t="shared" si="163"/>
        <v>0</v>
      </c>
      <c r="G389" s="34">
        <f t="shared" si="163"/>
        <v>0</v>
      </c>
    </row>
    <row r="390" spans="2:7" ht="27.5" customHeight="1" thickBot="1">
      <c r="B390" s="35" t="s">
        <v>5</v>
      </c>
      <c r="C390" s="36">
        <f t="shared" ref="C390:G390" si="164">SUM(C377,C389)</f>
        <v>10</v>
      </c>
      <c r="D390" s="36">
        <f t="shared" si="164"/>
        <v>10</v>
      </c>
      <c r="E390" s="36">
        <f t="shared" si="164"/>
        <v>10</v>
      </c>
      <c r="F390" s="36">
        <f t="shared" si="164"/>
        <v>30</v>
      </c>
      <c r="G390" s="37">
        <f t="shared" si="164"/>
        <v>80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5">SUM(C382,C394)</f>
        <v>0</v>
      </c>
      <c r="D395" s="36">
        <f t="shared" si="165"/>
        <v>0</v>
      </c>
      <c r="E395" s="36">
        <f t="shared" si="165"/>
        <v>0</v>
      </c>
      <c r="F395" s="36">
        <f t="shared" si="165"/>
        <v>0</v>
      </c>
      <c r="G395" s="37">
        <f t="shared" si="165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6">SUM(C384,C396)</f>
        <v>0</v>
      </c>
      <c r="D397" s="36">
        <f t="shared" si="166"/>
        <v>0</v>
      </c>
      <c r="E397" s="36">
        <f t="shared" si="166"/>
        <v>0</v>
      </c>
      <c r="F397" s="36">
        <f t="shared" si="166"/>
        <v>0</v>
      </c>
      <c r="G397" s="37">
        <f t="shared" si="166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7">SUM(D386,D398)</f>
        <v>0</v>
      </c>
      <c r="E399" s="36">
        <f t="shared" si="167"/>
        <v>0</v>
      </c>
      <c r="F399" s="36">
        <f t="shared" si="167"/>
        <v>0</v>
      </c>
      <c r="G399" s="37">
        <f t="shared" si="167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68">SUM(C388,C400)</f>
        <v>0</v>
      </c>
      <c r="D401" s="36">
        <f t="shared" si="168"/>
        <v>0</v>
      </c>
      <c r="E401" s="36">
        <f t="shared" si="168"/>
        <v>0</v>
      </c>
      <c r="F401" s="36">
        <f t="shared" si="168"/>
        <v>0</v>
      </c>
      <c r="G401" s="37">
        <f t="shared" si="168"/>
        <v>0</v>
      </c>
    </row>
    <row r="402" spans="2:7" ht="27.5" customHeight="1">
      <c r="B402" s="32" t="s">
        <v>4</v>
      </c>
      <c r="C402" s="33">
        <f t="shared" ref="C402:G402" si="169">SUM(C394,C396,C398,C400)</f>
        <v>0</v>
      </c>
      <c r="D402" s="33">
        <f t="shared" si="169"/>
        <v>0</v>
      </c>
      <c r="E402" s="33">
        <f t="shared" si="169"/>
        <v>0</v>
      </c>
      <c r="F402" s="33">
        <f t="shared" si="169"/>
        <v>0</v>
      </c>
      <c r="G402" s="34">
        <f t="shared" si="169"/>
        <v>0</v>
      </c>
    </row>
    <row r="403" spans="2:7" ht="27.5" customHeight="1" thickBot="1">
      <c r="B403" s="35" t="s">
        <v>5</v>
      </c>
      <c r="C403" s="36">
        <f t="shared" ref="C403:G403" si="170">SUM(C390,C402)</f>
        <v>10</v>
      </c>
      <c r="D403" s="36">
        <f t="shared" si="170"/>
        <v>10</v>
      </c>
      <c r="E403" s="36">
        <f t="shared" si="170"/>
        <v>10</v>
      </c>
      <c r="F403" s="36">
        <f t="shared" si="170"/>
        <v>30</v>
      </c>
      <c r="G403" s="37">
        <f t="shared" si="170"/>
        <v>80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tabSelected="1" topLeftCell="A390" zoomScale="90" zoomScaleNormal="90" workbookViewId="0">
      <selection activeCell="N10" sqref="N10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10</v>
      </c>
      <c r="D4" s="27">
        <f>心斎橋!F3</f>
        <v>10</v>
      </c>
      <c r="E4" s="27">
        <f>心斎橋!H3</f>
        <v>10</v>
      </c>
      <c r="F4" s="27">
        <f>心斎橋!J3</f>
        <v>30</v>
      </c>
      <c r="G4" s="28">
        <f>心斎橋!L3</f>
        <v>80</v>
      </c>
    </row>
    <row r="5" spans="2:7" ht="27.5" customHeight="1" thickBot="1">
      <c r="B5" s="29"/>
      <c r="C5" s="30">
        <f>ABS(C4)</f>
        <v>10</v>
      </c>
      <c r="D5" s="30">
        <f>ABS(D4)</f>
        <v>10</v>
      </c>
      <c r="E5" s="30">
        <f>ABS(E4)</f>
        <v>10</v>
      </c>
      <c r="F5" s="30">
        <f>ABS(F4)</f>
        <v>30</v>
      </c>
      <c r="G5" s="31">
        <f>ABS(G4)</f>
        <v>80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梅田!C38</f>
        <v>0</v>
      </c>
      <c r="D10" s="33">
        <f>梅田!E38</f>
        <v>0</v>
      </c>
      <c r="E10" s="33">
        <f>梅田!G38</f>
        <v>0</v>
      </c>
      <c r="F10" s="33">
        <f>梅田!I38</f>
        <v>0</v>
      </c>
      <c r="G10" s="34">
        <f>梅田!K38</f>
        <v>0</v>
      </c>
    </row>
    <row r="11" spans="2:7" ht="27.5" customHeight="1" thickBot="1">
      <c r="B11" s="35"/>
      <c r="C11" s="36">
        <f>梅田!D38</f>
        <v>0</v>
      </c>
      <c r="D11" s="36">
        <f>梅田!F38</f>
        <v>0</v>
      </c>
      <c r="E11" s="36">
        <f>梅田!H38</f>
        <v>0</v>
      </c>
      <c r="F11" s="36">
        <f>梅田!J38</f>
        <v>0</v>
      </c>
      <c r="G11" s="37">
        <f>梅田!L38</f>
        <v>0</v>
      </c>
    </row>
    <row r="12" spans="2:7" ht="27.5" customHeight="1">
      <c r="B12" s="32" t="s">
        <v>4</v>
      </c>
      <c r="C12" s="33">
        <f t="shared" ref="C12:E13" si="0">SUM(C4,C6,C8,C10)</f>
        <v>10</v>
      </c>
      <c r="D12" s="33">
        <f t="shared" si="0"/>
        <v>10</v>
      </c>
      <c r="E12" s="33">
        <f t="shared" si="0"/>
        <v>10</v>
      </c>
      <c r="F12" s="33">
        <f>SUM(F4,F6,F8,F10,)</f>
        <v>30</v>
      </c>
      <c r="G12" s="34">
        <f>SUM(G4,G6,G8,G10)</f>
        <v>80</v>
      </c>
    </row>
    <row r="13" spans="2:7" ht="27.5" customHeight="1" thickBot="1">
      <c r="B13" s="35" t="s">
        <v>5</v>
      </c>
      <c r="C13" s="36">
        <f t="shared" si="0"/>
        <v>10</v>
      </c>
      <c r="D13" s="36">
        <f t="shared" si="0"/>
        <v>10</v>
      </c>
      <c r="E13" s="36">
        <f t="shared" si="0"/>
        <v>10</v>
      </c>
      <c r="F13" s="36">
        <f>SUM(F5,F7,F9,F11)</f>
        <v>30</v>
      </c>
      <c r="G13" s="37">
        <f>SUM(G5,G7,G9,G11)</f>
        <v>80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10</v>
      </c>
      <c r="D17" s="33">
        <f>心斎橋!E4</f>
        <v>10</v>
      </c>
      <c r="E17" s="33">
        <f>心斎橋!G4</f>
        <v>10</v>
      </c>
      <c r="F17" s="33">
        <f>心斎橋!I4</f>
        <v>30</v>
      </c>
      <c r="G17" s="34">
        <f>心斎橋!K4</f>
        <v>80</v>
      </c>
    </row>
    <row r="18" spans="2:7" ht="27.5" customHeight="1" thickBot="1">
      <c r="B18" s="35"/>
      <c r="C18" s="36">
        <f>SUM(C5,C17)</f>
        <v>20</v>
      </c>
      <c r="D18" s="36">
        <f t="shared" ref="D18:G18" si="1">SUM(D5,D17)</f>
        <v>20</v>
      </c>
      <c r="E18" s="36">
        <f t="shared" si="1"/>
        <v>20</v>
      </c>
      <c r="F18" s="36">
        <f t="shared" si="1"/>
        <v>60</v>
      </c>
      <c r="G18" s="37">
        <f t="shared" si="1"/>
        <v>160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梅田!C39</f>
        <v>0</v>
      </c>
      <c r="D23" s="33">
        <f>梅田!E39</f>
        <v>0</v>
      </c>
      <c r="E23" s="33">
        <f>梅田!G39</f>
        <v>0</v>
      </c>
      <c r="F23" s="33">
        <f>梅田!I39</f>
        <v>0</v>
      </c>
      <c r="G23" s="34">
        <f>梅田!K39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10</v>
      </c>
      <c r="D25" s="33">
        <f>SUM(D17,D19,D21,D23)</f>
        <v>10</v>
      </c>
      <c r="E25" s="33">
        <f>SUM(E17,E19,E21,E23)</f>
        <v>10</v>
      </c>
      <c r="F25" s="33">
        <f>SUM(F17,F19,F21,F23)</f>
        <v>30</v>
      </c>
      <c r="G25" s="34">
        <f>SUM(G17,G19,G21,G23)</f>
        <v>80</v>
      </c>
    </row>
    <row r="26" spans="2:7" ht="27.5" customHeight="1" thickBot="1">
      <c r="B26" s="35" t="s">
        <v>5</v>
      </c>
      <c r="C26" s="36">
        <f t="shared" ref="C26:G26" si="5">SUM(C13,C25)</f>
        <v>20</v>
      </c>
      <c r="D26" s="36">
        <f t="shared" si="5"/>
        <v>20</v>
      </c>
      <c r="E26" s="36">
        <f t="shared" si="5"/>
        <v>20</v>
      </c>
      <c r="F26" s="36">
        <f t="shared" si="5"/>
        <v>60</v>
      </c>
      <c r="G26" s="37">
        <f t="shared" si="5"/>
        <v>160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20</v>
      </c>
      <c r="D31" s="36">
        <f t="shared" si="6"/>
        <v>20</v>
      </c>
      <c r="E31" s="36">
        <f t="shared" si="6"/>
        <v>20</v>
      </c>
      <c r="F31" s="36">
        <f t="shared" si="6"/>
        <v>60</v>
      </c>
      <c r="G31" s="37">
        <f t="shared" si="6"/>
        <v>160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梅田!C40</f>
        <v>0</v>
      </c>
      <c r="D36" s="33">
        <f>梅田!E40</f>
        <v>0</v>
      </c>
      <c r="E36" s="33">
        <f>梅田!G40</f>
        <v>0</v>
      </c>
      <c r="F36" s="33">
        <f>梅田!I40</f>
        <v>0</v>
      </c>
      <c r="G36" s="34">
        <f>梅田!K40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20</v>
      </c>
      <c r="D39" s="36">
        <f t="shared" si="10"/>
        <v>20</v>
      </c>
      <c r="E39" s="36">
        <f t="shared" si="10"/>
        <v>20</v>
      </c>
      <c r="F39" s="36">
        <f t="shared" si="10"/>
        <v>60</v>
      </c>
      <c r="G39" s="37">
        <f t="shared" si="10"/>
        <v>160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20</v>
      </c>
      <c r="D44" s="36">
        <f t="shared" si="11"/>
        <v>20</v>
      </c>
      <c r="E44" s="36">
        <f t="shared" si="11"/>
        <v>20</v>
      </c>
      <c r="F44" s="36">
        <f t="shared" si="11"/>
        <v>60</v>
      </c>
      <c r="G44" s="37">
        <f t="shared" si="11"/>
        <v>160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梅田!C41</f>
        <v>0</v>
      </c>
      <c r="D49" s="33">
        <f>梅田!E41</f>
        <v>0</v>
      </c>
      <c r="E49" s="33">
        <f>梅田!G41</f>
        <v>0</v>
      </c>
      <c r="F49" s="33">
        <f>梅田!I41</f>
        <v>0</v>
      </c>
      <c r="G49" s="34">
        <f>梅田!K41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20</v>
      </c>
      <c r="D52" s="36">
        <f t="shared" si="16"/>
        <v>20</v>
      </c>
      <c r="E52" s="36">
        <f t="shared" si="16"/>
        <v>20</v>
      </c>
      <c r="F52" s="36">
        <f t="shared" si="16"/>
        <v>60</v>
      </c>
      <c r="G52" s="37">
        <f t="shared" si="16"/>
        <v>160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20</v>
      </c>
      <c r="D57" s="36">
        <f t="shared" si="17"/>
        <v>20</v>
      </c>
      <c r="E57" s="36">
        <f t="shared" si="17"/>
        <v>20</v>
      </c>
      <c r="F57" s="36">
        <f t="shared" si="17"/>
        <v>60</v>
      </c>
      <c r="G57" s="37">
        <f t="shared" si="17"/>
        <v>160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梅田!C42</f>
        <v>0</v>
      </c>
      <c r="D62" s="33">
        <f>梅田!E42</f>
        <v>0</v>
      </c>
      <c r="E62" s="33">
        <f>梅田!G42</f>
        <v>0</v>
      </c>
      <c r="F62" s="33">
        <f>梅田!I42</f>
        <v>0</v>
      </c>
      <c r="G62" s="34">
        <f>梅田!K42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20</v>
      </c>
      <c r="D65" s="36">
        <f t="shared" si="21"/>
        <v>20</v>
      </c>
      <c r="E65" s="36">
        <f t="shared" si="21"/>
        <v>20</v>
      </c>
      <c r="F65" s="36">
        <f t="shared" si="21"/>
        <v>60</v>
      </c>
      <c r="G65" s="37">
        <f t="shared" si="21"/>
        <v>160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20</v>
      </c>
      <c r="D70" s="36">
        <f t="shared" si="22"/>
        <v>20</v>
      </c>
      <c r="E70" s="36">
        <f t="shared" si="22"/>
        <v>20</v>
      </c>
      <c r="F70" s="36">
        <f t="shared" si="22"/>
        <v>60</v>
      </c>
      <c r="G70" s="37">
        <f t="shared" si="22"/>
        <v>160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梅田!C43</f>
        <v>0</v>
      </c>
      <c r="D75" s="33">
        <f>梅田!E43</f>
        <v>0</v>
      </c>
      <c r="E75" s="33">
        <f>梅田!G43</f>
        <v>0</v>
      </c>
      <c r="F75" s="33">
        <f>梅田!I43</f>
        <v>0</v>
      </c>
      <c r="G75" s="34">
        <f>梅田!K43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20</v>
      </c>
      <c r="D78" s="36">
        <f t="shared" si="26"/>
        <v>20</v>
      </c>
      <c r="E78" s="36">
        <f t="shared" si="26"/>
        <v>20</v>
      </c>
      <c r="F78" s="36">
        <f t="shared" si="26"/>
        <v>60</v>
      </c>
      <c r="G78" s="37">
        <f t="shared" si="26"/>
        <v>160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20</v>
      </c>
      <c r="D83" s="36">
        <f t="shared" si="27"/>
        <v>20</v>
      </c>
      <c r="E83" s="36">
        <f t="shared" si="27"/>
        <v>20</v>
      </c>
      <c r="F83" s="36">
        <f t="shared" si="27"/>
        <v>60</v>
      </c>
      <c r="G83" s="37">
        <f t="shared" si="27"/>
        <v>160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梅田!C44</f>
        <v>0</v>
      </c>
      <c r="D88" s="33">
        <f>梅田!E44</f>
        <v>0</v>
      </c>
      <c r="E88" s="33">
        <f>梅田!G44</f>
        <v>0</v>
      </c>
      <c r="F88" s="33">
        <f>梅田!I44</f>
        <v>0</v>
      </c>
      <c r="G88" s="34">
        <f>梅田!K44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20</v>
      </c>
      <c r="D91" s="36">
        <f t="shared" si="31"/>
        <v>20</v>
      </c>
      <c r="E91" s="36">
        <f t="shared" si="31"/>
        <v>20</v>
      </c>
      <c r="F91" s="36">
        <f t="shared" si="31"/>
        <v>60</v>
      </c>
      <c r="G91" s="37">
        <f t="shared" si="31"/>
        <v>160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20</v>
      </c>
      <c r="D96" s="36">
        <f t="shared" ref="D96:G96" si="32">SUM(D83,D95)</f>
        <v>20</v>
      </c>
      <c r="E96" s="36">
        <f t="shared" si="32"/>
        <v>20</v>
      </c>
      <c r="F96" s="36">
        <f t="shared" si="32"/>
        <v>60</v>
      </c>
      <c r="G96" s="37">
        <f t="shared" si="32"/>
        <v>160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梅田!C45</f>
        <v>0</v>
      </c>
      <c r="D101" s="33">
        <f>梅田!E45</f>
        <v>0</v>
      </c>
      <c r="E101" s="33">
        <f>梅田!G45</f>
        <v>0</v>
      </c>
      <c r="F101" s="33">
        <f>梅田!I45</f>
        <v>0</v>
      </c>
      <c r="G101" s="34">
        <f>梅田!K45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20</v>
      </c>
      <c r="D104" s="36">
        <f t="shared" ref="D104:G104" si="36">SUM(D91,D103)</f>
        <v>20</v>
      </c>
      <c r="E104" s="36">
        <f t="shared" si="36"/>
        <v>20</v>
      </c>
      <c r="F104" s="36">
        <f t="shared" si="36"/>
        <v>60</v>
      </c>
      <c r="G104" s="37">
        <f t="shared" si="36"/>
        <v>160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20</v>
      </c>
      <c r="D109" s="36">
        <f t="shared" si="37"/>
        <v>20</v>
      </c>
      <c r="E109" s="36">
        <f t="shared" si="37"/>
        <v>20</v>
      </c>
      <c r="F109" s="36">
        <f t="shared" si="37"/>
        <v>60</v>
      </c>
      <c r="G109" s="37">
        <f t="shared" si="37"/>
        <v>160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梅田!C46</f>
        <v>0</v>
      </c>
      <c r="D114" s="33">
        <f>梅田!E46</f>
        <v>0</v>
      </c>
      <c r="E114" s="33">
        <f>梅田!G46</f>
        <v>0</v>
      </c>
      <c r="F114" s="33">
        <f>梅田!I46</f>
        <v>0</v>
      </c>
      <c r="G114" s="34">
        <f>梅田!K46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20</v>
      </c>
      <c r="D117" s="36">
        <f t="shared" ref="D117:G117" si="41">SUM(D104,D116)</f>
        <v>20</v>
      </c>
      <c r="E117" s="36">
        <f t="shared" si="41"/>
        <v>20</v>
      </c>
      <c r="F117" s="36">
        <f t="shared" si="41"/>
        <v>60</v>
      </c>
      <c r="G117" s="37">
        <f t="shared" si="41"/>
        <v>160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20</v>
      </c>
      <c r="D122" s="36">
        <f t="shared" si="42"/>
        <v>20</v>
      </c>
      <c r="E122" s="36">
        <f t="shared" si="42"/>
        <v>20</v>
      </c>
      <c r="F122" s="36">
        <f t="shared" si="42"/>
        <v>60</v>
      </c>
      <c r="G122" s="37">
        <f t="shared" si="42"/>
        <v>160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梅田!C47</f>
        <v>0</v>
      </c>
      <c r="D127" s="33">
        <f>梅田!E47</f>
        <v>0</v>
      </c>
      <c r="E127" s="33">
        <f>梅田!G47</f>
        <v>0</v>
      </c>
      <c r="F127" s="33">
        <f>梅田!I47</f>
        <v>0</v>
      </c>
      <c r="G127" s="34">
        <f>梅田!K47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20</v>
      </c>
      <c r="D130" s="36">
        <f t="shared" si="47"/>
        <v>20</v>
      </c>
      <c r="E130" s="36">
        <f t="shared" si="47"/>
        <v>20</v>
      </c>
      <c r="F130" s="36">
        <f t="shared" si="47"/>
        <v>60</v>
      </c>
      <c r="G130" s="36">
        <f t="shared" si="47"/>
        <v>160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20</v>
      </c>
      <c r="D135" s="36">
        <f t="shared" si="48"/>
        <v>20</v>
      </c>
      <c r="E135" s="36">
        <f t="shared" si="48"/>
        <v>20</v>
      </c>
      <c r="F135" s="36">
        <f t="shared" si="48"/>
        <v>60</v>
      </c>
      <c r="G135" s="37">
        <f t="shared" si="48"/>
        <v>160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梅田!C48</f>
        <v>0</v>
      </c>
      <c r="D140" s="33">
        <f>梅田!E48</f>
        <v>0</v>
      </c>
      <c r="E140" s="33">
        <f>梅田!G48</f>
        <v>0</v>
      </c>
      <c r="F140" s="33">
        <f>梅田!I48</f>
        <v>0</v>
      </c>
      <c r="G140" s="34">
        <f>梅田!K48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20</v>
      </c>
      <c r="D143" s="36">
        <f t="shared" si="53"/>
        <v>20</v>
      </c>
      <c r="E143" s="36">
        <f t="shared" si="53"/>
        <v>20</v>
      </c>
      <c r="F143" s="36">
        <f t="shared" si="53"/>
        <v>60</v>
      </c>
      <c r="G143" s="37">
        <f t="shared" si="53"/>
        <v>160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20</v>
      </c>
      <c r="D148" s="36">
        <f t="shared" si="54"/>
        <v>20</v>
      </c>
      <c r="E148" s="36">
        <f t="shared" si="54"/>
        <v>20</v>
      </c>
      <c r="F148" s="36">
        <f t="shared" si="54"/>
        <v>60</v>
      </c>
      <c r="G148" s="37">
        <f t="shared" si="54"/>
        <v>160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梅田!C49</f>
        <v>0</v>
      </c>
      <c r="D153" s="33">
        <f>梅田!E49</f>
        <v>0</v>
      </c>
      <c r="E153" s="33">
        <f>梅田!G49</f>
        <v>0</v>
      </c>
      <c r="F153" s="33">
        <f>梅田!I49</f>
        <v>0</v>
      </c>
      <c r="G153" s="34">
        <f>梅田!K49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20</v>
      </c>
      <c r="D156" s="36">
        <f t="shared" si="59"/>
        <v>20</v>
      </c>
      <c r="E156" s="36">
        <f t="shared" si="59"/>
        <v>20</v>
      </c>
      <c r="F156" s="36">
        <f t="shared" si="59"/>
        <v>60</v>
      </c>
      <c r="G156" s="37">
        <f t="shared" si="59"/>
        <v>160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20</v>
      </c>
      <c r="D161" s="36">
        <f t="shared" si="60"/>
        <v>20</v>
      </c>
      <c r="E161" s="36">
        <f t="shared" si="60"/>
        <v>20</v>
      </c>
      <c r="F161" s="36">
        <f t="shared" si="60"/>
        <v>60</v>
      </c>
      <c r="G161" s="37">
        <f t="shared" si="60"/>
        <v>160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梅田!C50</f>
        <v>0</v>
      </c>
      <c r="D166" s="33">
        <f>梅田!E50</f>
        <v>0</v>
      </c>
      <c r="E166" s="33">
        <f>梅田!G50</f>
        <v>0</v>
      </c>
      <c r="F166" s="33">
        <f>梅田!I50</f>
        <v>0</v>
      </c>
      <c r="G166" s="34">
        <f>梅田!K50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20</v>
      </c>
      <c r="D169" s="36">
        <f t="shared" si="65"/>
        <v>20</v>
      </c>
      <c r="E169" s="36">
        <f t="shared" si="65"/>
        <v>20</v>
      </c>
      <c r="F169" s="36">
        <f t="shared" si="65"/>
        <v>60</v>
      </c>
      <c r="G169" s="37">
        <f t="shared" si="65"/>
        <v>160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20</v>
      </c>
      <c r="D174" s="36">
        <f t="shared" ref="D174:G174" si="66">SUM(D161,D173)</f>
        <v>20</v>
      </c>
      <c r="E174" s="36">
        <f t="shared" si="66"/>
        <v>20</v>
      </c>
      <c r="F174" s="36">
        <f t="shared" si="66"/>
        <v>60</v>
      </c>
      <c r="G174" s="37">
        <f t="shared" si="66"/>
        <v>160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梅田!C51</f>
        <v>0</v>
      </c>
      <c r="D179" s="33">
        <f>梅田!E51</f>
        <v>0</v>
      </c>
      <c r="E179" s="33">
        <f>梅田!G51</f>
        <v>0</v>
      </c>
      <c r="F179" s="33">
        <f>梅田!I51</f>
        <v>0</v>
      </c>
      <c r="G179" s="34">
        <f>梅田!K51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20</v>
      </c>
      <c r="D182" s="36">
        <f t="shared" si="71"/>
        <v>20</v>
      </c>
      <c r="E182" s="36">
        <f t="shared" si="71"/>
        <v>20</v>
      </c>
      <c r="F182" s="36">
        <f t="shared" si="71"/>
        <v>60</v>
      </c>
      <c r="G182" s="37">
        <f t="shared" si="71"/>
        <v>160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20</v>
      </c>
      <c r="D187" s="36">
        <f t="shared" ref="D187:G187" si="72">SUM(D174,D186)</f>
        <v>20</v>
      </c>
      <c r="E187" s="36">
        <f t="shared" si="72"/>
        <v>20</v>
      </c>
      <c r="F187" s="36">
        <f t="shared" si="72"/>
        <v>60</v>
      </c>
      <c r="G187" s="37">
        <f t="shared" si="72"/>
        <v>160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梅田!C52</f>
        <v>0</v>
      </c>
      <c r="D192" s="33">
        <f>梅田!E52</f>
        <v>0</v>
      </c>
      <c r="E192" s="33">
        <f>梅田!G52</f>
        <v>0</v>
      </c>
      <c r="F192" s="33">
        <f>梅田!I52</f>
        <v>0</v>
      </c>
      <c r="G192" s="34">
        <f>梅田!K52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20</v>
      </c>
      <c r="D195" s="36">
        <f t="shared" si="77"/>
        <v>20</v>
      </c>
      <c r="E195" s="36">
        <f t="shared" si="77"/>
        <v>20</v>
      </c>
      <c r="F195" s="36">
        <f t="shared" si="77"/>
        <v>60</v>
      </c>
      <c r="G195" s="37">
        <f t="shared" si="77"/>
        <v>160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20</v>
      </c>
      <c r="D200" s="36">
        <f t="shared" ref="D200:G200" si="78">SUM(D187,D199)</f>
        <v>20</v>
      </c>
      <c r="E200" s="36">
        <f t="shared" si="78"/>
        <v>20</v>
      </c>
      <c r="F200" s="36">
        <f t="shared" si="78"/>
        <v>60</v>
      </c>
      <c r="G200" s="37">
        <f t="shared" si="78"/>
        <v>160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梅田!C53</f>
        <v>0</v>
      </c>
      <c r="D205" s="33">
        <f>梅田!E53</f>
        <v>0</v>
      </c>
      <c r="E205" s="33">
        <f>梅田!G53</f>
        <v>0</v>
      </c>
      <c r="F205" s="33">
        <f>梅田!I53</f>
        <v>0</v>
      </c>
      <c r="G205" s="34">
        <f>梅田!K53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20</v>
      </c>
      <c r="D208" s="36">
        <f t="shared" si="83"/>
        <v>20</v>
      </c>
      <c r="E208" s="36">
        <f t="shared" si="83"/>
        <v>20</v>
      </c>
      <c r="F208" s="36">
        <f t="shared" si="83"/>
        <v>60</v>
      </c>
      <c r="G208" s="37">
        <f t="shared" si="83"/>
        <v>160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20</v>
      </c>
      <c r="D213" s="36">
        <f t="shared" si="84"/>
        <v>20</v>
      </c>
      <c r="E213" s="36">
        <f t="shared" si="84"/>
        <v>20</v>
      </c>
      <c r="F213" s="36">
        <f t="shared" si="84"/>
        <v>60</v>
      </c>
      <c r="G213" s="37">
        <f t="shared" si="84"/>
        <v>160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梅田!C54</f>
        <v>0</v>
      </c>
      <c r="D218" s="33">
        <f>梅田!E54</f>
        <v>0</v>
      </c>
      <c r="E218" s="33">
        <f>梅田!G54</f>
        <v>0</v>
      </c>
      <c r="F218" s="33">
        <f>梅田!I54</f>
        <v>0</v>
      </c>
      <c r="G218" s="34">
        <f>梅田!K54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20</v>
      </c>
      <c r="D221" s="36">
        <f t="shared" si="89"/>
        <v>20</v>
      </c>
      <c r="E221" s="36">
        <f t="shared" si="89"/>
        <v>20</v>
      </c>
      <c r="F221" s="36">
        <f t="shared" si="89"/>
        <v>60</v>
      </c>
      <c r="G221" s="37">
        <f t="shared" si="89"/>
        <v>160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20</v>
      </c>
      <c r="D226" s="36">
        <f t="shared" si="90"/>
        <v>20</v>
      </c>
      <c r="E226" s="36">
        <f t="shared" si="90"/>
        <v>20</v>
      </c>
      <c r="F226" s="36">
        <f t="shared" si="90"/>
        <v>60</v>
      </c>
      <c r="G226" s="37">
        <f t="shared" si="90"/>
        <v>160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梅田!C55</f>
        <v>0</v>
      </c>
      <c r="D231" s="33">
        <f>梅田!E55</f>
        <v>0</v>
      </c>
      <c r="E231" s="33">
        <f>梅田!G55</f>
        <v>0</v>
      </c>
      <c r="F231" s="33">
        <f>梅田!I55</f>
        <v>0</v>
      </c>
      <c r="G231" s="34">
        <f>梅田!K55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20</v>
      </c>
      <c r="D234" s="36">
        <f t="shared" si="95"/>
        <v>20</v>
      </c>
      <c r="E234" s="36">
        <f t="shared" si="95"/>
        <v>20</v>
      </c>
      <c r="F234" s="36">
        <f t="shared" si="95"/>
        <v>60</v>
      </c>
      <c r="G234" s="37">
        <f t="shared" si="95"/>
        <v>160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20</v>
      </c>
      <c r="D239" s="36">
        <f t="shared" si="96"/>
        <v>20</v>
      </c>
      <c r="E239" s="36">
        <f t="shared" si="96"/>
        <v>20</v>
      </c>
      <c r="F239" s="36">
        <f t="shared" si="96"/>
        <v>60</v>
      </c>
      <c r="G239" s="37">
        <f>SUM(G226,G238)</f>
        <v>160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梅田!C56</f>
        <v>0</v>
      </c>
      <c r="D244" s="33">
        <f>梅田!E56</f>
        <v>0</v>
      </c>
      <c r="E244" s="33">
        <f>梅田!G56</f>
        <v>0</v>
      </c>
      <c r="F244" s="33">
        <f>梅田!I56</f>
        <v>0</v>
      </c>
      <c r="G244" s="34">
        <f>梅田!K56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20</v>
      </c>
      <c r="D247" s="36">
        <f t="shared" si="101"/>
        <v>20</v>
      </c>
      <c r="E247" s="36">
        <f t="shared" si="101"/>
        <v>20</v>
      </c>
      <c r="F247" s="36">
        <f t="shared" si="101"/>
        <v>60</v>
      </c>
      <c r="G247" s="37">
        <f t="shared" si="101"/>
        <v>160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20</v>
      </c>
      <c r="D252" s="36">
        <f t="shared" si="102"/>
        <v>20</v>
      </c>
      <c r="E252" s="36">
        <f t="shared" si="102"/>
        <v>20</v>
      </c>
      <c r="F252" s="36">
        <f t="shared" si="102"/>
        <v>60</v>
      </c>
      <c r="G252" s="37">
        <f>SUM(G239,G251)</f>
        <v>160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梅田!C57</f>
        <v>0</v>
      </c>
      <c r="D257" s="33">
        <f>梅田!E57</f>
        <v>0</v>
      </c>
      <c r="E257" s="33">
        <f>梅田!G57</f>
        <v>0</v>
      </c>
      <c r="F257" s="33">
        <f>梅田!I57</f>
        <v>0</v>
      </c>
      <c r="G257" s="34">
        <f>梅田!K57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20</v>
      </c>
      <c r="D260" s="36">
        <f t="shared" si="107"/>
        <v>20</v>
      </c>
      <c r="E260" s="36">
        <f t="shared" si="107"/>
        <v>20</v>
      </c>
      <c r="F260" s="36">
        <f t="shared" si="107"/>
        <v>60</v>
      </c>
      <c r="G260" s="37">
        <f t="shared" si="107"/>
        <v>160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20</v>
      </c>
      <c r="D265" s="36">
        <f t="shared" si="108"/>
        <v>20</v>
      </c>
      <c r="E265" s="36">
        <f t="shared" si="108"/>
        <v>20</v>
      </c>
      <c r="F265" s="36">
        <f t="shared" si="108"/>
        <v>60</v>
      </c>
      <c r="G265" s="37">
        <f>SUM(G252,G264)</f>
        <v>160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梅田!C58</f>
        <v>0</v>
      </c>
      <c r="D270" s="33">
        <f>梅田!E58</f>
        <v>0</v>
      </c>
      <c r="E270" s="33">
        <f>梅田!G58</f>
        <v>0</v>
      </c>
      <c r="F270" s="33">
        <f>梅田!I58</f>
        <v>0</v>
      </c>
      <c r="G270" s="34">
        <f>梅田!K58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20</v>
      </c>
      <c r="D273" s="36">
        <f t="shared" si="113"/>
        <v>20</v>
      </c>
      <c r="E273" s="36">
        <f t="shared" si="113"/>
        <v>20</v>
      </c>
      <c r="F273" s="36">
        <f t="shared" si="113"/>
        <v>60</v>
      </c>
      <c r="G273" s="37">
        <f t="shared" si="113"/>
        <v>160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20</v>
      </c>
      <c r="D278" s="36">
        <f t="shared" si="114"/>
        <v>20</v>
      </c>
      <c r="E278" s="36">
        <f t="shared" si="114"/>
        <v>20</v>
      </c>
      <c r="F278" s="36">
        <f t="shared" si="114"/>
        <v>60</v>
      </c>
      <c r="G278" s="37">
        <f>SUM(G265,G277)</f>
        <v>160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梅田!C59</f>
        <v>0</v>
      </c>
      <c r="D283" s="33">
        <f>梅田!E59</f>
        <v>0</v>
      </c>
      <c r="E283" s="33">
        <f>梅田!G59</f>
        <v>0</v>
      </c>
      <c r="F283" s="33">
        <f>梅田!I59</f>
        <v>0</v>
      </c>
      <c r="G283" s="34">
        <f>梅田!K59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20</v>
      </c>
      <c r="D286" s="36">
        <f t="shared" si="119"/>
        <v>20</v>
      </c>
      <c r="E286" s="36">
        <f t="shared" si="119"/>
        <v>20</v>
      </c>
      <c r="F286" s="36">
        <f t="shared" si="119"/>
        <v>60</v>
      </c>
      <c r="G286" s="37">
        <f t="shared" si="119"/>
        <v>160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20</v>
      </c>
      <c r="D291" s="36">
        <f t="shared" si="120"/>
        <v>20</v>
      </c>
      <c r="E291" s="36">
        <f t="shared" si="120"/>
        <v>20</v>
      </c>
      <c r="F291" s="36">
        <f t="shared" si="120"/>
        <v>60</v>
      </c>
      <c r="G291" s="37">
        <f>SUM(G278,G290)</f>
        <v>160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梅田!C60</f>
        <v>0</v>
      </c>
      <c r="D296" s="33">
        <f>梅田!E60</f>
        <v>0</v>
      </c>
      <c r="E296" s="33">
        <f>梅田!G60</f>
        <v>0</v>
      </c>
      <c r="F296" s="33">
        <f>梅田!I60</f>
        <v>0</v>
      </c>
      <c r="G296" s="34">
        <f>梅田!K60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20</v>
      </c>
      <c r="D299" s="36">
        <f t="shared" si="125"/>
        <v>20</v>
      </c>
      <c r="E299" s="36">
        <f t="shared" si="125"/>
        <v>20</v>
      </c>
      <c r="F299" s="36">
        <f t="shared" si="125"/>
        <v>60</v>
      </c>
      <c r="G299" s="37">
        <f t="shared" si="125"/>
        <v>160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20</v>
      </c>
      <c r="D304" s="36">
        <f t="shared" si="126"/>
        <v>20</v>
      </c>
      <c r="E304" s="36">
        <f t="shared" si="126"/>
        <v>20</v>
      </c>
      <c r="F304" s="36">
        <f t="shared" si="126"/>
        <v>60</v>
      </c>
      <c r="G304" s="37">
        <f t="shared" si="126"/>
        <v>160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梅田!C61</f>
        <v>0</v>
      </c>
      <c r="D309" s="33">
        <f>梅田!E61</f>
        <v>0</v>
      </c>
      <c r="E309" s="33">
        <f>梅田!G61</f>
        <v>0</v>
      </c>
      <c r="F309" s="33">
        <f>梅田!I61</f>
        <v>0</v>
      </c>
      <c r="G309" s="34">
        <f>梅田!K61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20</v>
      </c>
      <c r="D312" s="36">
        <f t="shared" si="131"/>
        <v>20</v>
      </c>
      <c r="E312" s="36">
        <f t="shared" si="131"/>
        <v>20</v>
      </c>
      <c r="F312" s="36">
        <f t="shared" si="131"/>
        <v>60</v>
      </c>
      <c r="G312" s="37">
        <f t="shared" si="131"/>
        <v>160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20</v>
      </c>
      <c r="D317" s="36">
        <f t="shared" si="132"/>
        <v>20</v>
      </c>
      <c r="E317" s="36">
        <f t="shared" si="132"/>
        <v>20</v>
      </c>
      <c r="F317" s="36">
        <f t="shared" si="132"/>
        <v>60</v>
      </c>
      <c r="G317" s="37">
        <f t="shared" si="132"/>
        <v>160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梅田!C62</f>
        <v>0</v>
      </c>
      <c r="D322" s="33">
        <f>梅田!E62</f>
        <v>0</v>
      </c>
      <c r="E322" s="33">
        <f>梅田!G62</f>
        <v>0</v>
      </c>
      <c r="F322" s="33">
        <f>梅田!I62</f>
        <v>0</v>
      </c>
      <c r="G322" s="34">
        <f>梅田!K62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20</v>
      </c>
      <c r="D325" s="36">
        <f t="shared" si="137"/>
        <v>20</v>
      </c>
      <c r="E325" s="36">
        <f t="shared" si="137"/>
        <v>20</v>
      </c>
      <c r="F325" s="36">
        <f t="shared" si="137"/>
        <v>60</v>
      </c>
      <c r="G325" s="37">
        <f t="shared" si="137"/>
        <v>160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20</v>
      </c>
      <c r="D330" s="36">
        <f t="shared" si="138"/>
        <v>20</v>
      </c>
      <c r="E330" s="36">
        <f t="shared" si="138"/>
        <v>20</v>
      </c>
      <c r="F330" s="36">
        <f t="shared" si="138"/>
        <v>60</v>
      </c>
      <c r="G330" s="37">
        <f t="shared" si="138"/>
        <v>160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梅田!C63</f>
        <v>0</v>
      </c>
      <c r="D335" s="33">
        <f>梅田!E63</f>
        <v>0</v>
      </c>
      <c r="E335" s="33">
        <f>梅田!G63</f>
        <v>0</v>
      </c>
      <c r="F335" s="33">
        <f>梅田!I63</f>
        <v>0</v>
      </c>
      <c r="G335" s="34">
        <f>梅田!K63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20</v>
      </c>
      <c r="D338" s="36">
        <f t="shared" si="143"/>
        <v>20</v>
      </c>
      <c r="E338" s="36">
        <f t="shared" si="143"/>
        <v>20</v>
      </c>
      <c r="F338" s="36">
        <f t="shared" si="143"/>
        <v>60</v>
      </c>
      <c r="G338" s="37">
        <f t="shared" si="143"/>
        <v>160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20</v>
      </c>
      <c r="D343" s="36">
        <f t="shared" si="144"/>
        <v>20</v>
      </c>
      <c r="E343" s="36">
        <f t="shared" si="144"/>
        <v>20</v>
      </c>
      <c r="F343" s="36">
        <f t="shared" si="144"/>
        <v>60</v>
      </c>
      <c r="G343" s="37">
        <f t="shared" si="144"/>
        <v>160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梅田!C64</f>
        <v>0</v>
      </c>
      <c r="D348" s="33">
        <f>梅田!E64</f>
        <v>0</v>
      </c>
      <c r="E348" s="33">
        <f>梅田!G64</f>
        <v>0</v>
      </c>
      <c r="F348" s="33">
        <f>梅田!I64</f>
        <v>0</v>
      </c>
      <c r="G348" s="34">
        <f>梅田!K64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20</v>
      </c>
      <c r="D351" s="36">
        <f t="shared" si="149"/>
        <v>20</v>
      </c>
      <c r="E351" s="36">
        <f t="shared" si="149"/>
        <v>20</v>
      </c>
      <c r="F351" s="36">
        <f t="shared" si="149"/>
        <v>60</v>
      </c>
      <c r="G351" s="37">
        <f t="shared" si="149"/>
        <v>160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20</v>
      </c>
      <c r="D356" s="36">
        <f t="shared" si="150"/>
        <v>20</v>
      </c>
      <c r="E356" s="36">
        <f t="shared" si="150"/>
        <v>20</v>
      </c>
      <c r="F356" s="36">
        <f t="shared" si="150"/>
        <v>60</v>
      </c>
      <c r="G356" s="37">
        <f t="shared" si="150"/>
        <v>160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梅田!C65</f>
        <v>0</v>
      </c>
      <c r="D361" s="33">
        <f>梅田!E65</f>
        <v>0</v>
      </c>
      <c r="E361" s="33">
        <f>梅田!G65</f>
        <v>0</v>
      </c>
      <c r="F361" s="33">
        <f>梅田!I65</f>
        <v>0</v>
      </c>
      <c r="G361" s="34">
        <f>梅田!K65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20</v>
      </c>
      <c r="D364" s="36">
        <f t="shared" si="155"/>
        <v>20</v>
      </c>
      <c r="E364" s="36">
        <f t="shared" si="155"/>
        <v>20</v>
      </c>
      <c r="F364" s="36">
        <f t="shared" si="155"/>
        <v>60</v>
      </c>
      <c r="G364" s="37">
        <f t="shared" si="155"/>
        <v>160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20</v>
      </c>
      <c r="D369" s="36">
        <f t="shared" si="156"/>
        <v>20</v>
      </c>
      <c r="E369" s="36">
        <f t="shared" si="156"/>
        <v>20</v>
      </c>
      <c r="F369" s="36">
        <f t="shared" si="156"/>
        <v>60</v>
      </c>
      <c r="G369" s="37">
        <f t="shared" si="156"/>
        <v>160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梅田!C66</f>
        <v>0</v>
      </c>
      <c r="D374" s="33">
        <f>梅田!E66</f>
        <v>0</v>
      </c>
      <c r="E374" s="33">
        <f>梅田!G66</f>
        <v>0</v>
      </c>
      <c r="F374" s="33">
        <f>梅田!I66</f>
        <v>0</v>
      </c>
      <c r="G374" s="34">
        <f>梅田!K66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20</v>
      </c>
      <c r="D377" s="36">
        <f t="shared" si="161"/>
        <v>20</v>
      </c>
      <c r="E377" s="36">
        <f t="shared" si="161"/>
        <v>20</v>
      </c>
      <c r="F377" s="36">
        <f t="shared" si="161"/>
        <v>60</v>
      </c>
      <c r="G377" s="37">
        <f t="shared" si="161"/>
        <v>160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20</v>
      </c>
      <c r="D382" s="36">
        <f t="shared" si="162"/>
        <v>20</v>
      </c>
      <c r="E382" s="36">
        <f t="shared" si="162"/>
        <v>20</v>
      </c>
      <c r="F382" s="36">
        <f t="shared" si="162"/>
        <v>60</v>
      </c>
      <c r="G382" s="37">
        <f t="shared" si="162"/>
        <v>160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梅田!C67</f>
        <v>0</v>
      </c>
      <c r="D387" s="33">
        <f>梅田!E67</f>
        <v>0</v>
      </c>
      <c r="E387" s="33">
        <f>梅田!G67</f>
        <v>0</v>
      </c>
      <c r="F387" s="33">
        <f>梅田!I67</f>
        <v>0</v>
      </c>
      <c r="G387" s="34">
        <f>梅田!K67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20</v>
      </c>
      <c r="D390" s="36">
        <f t="shared" si="167"/>
        <v>20</v>
      </c>
      <c r="E390" s="36">
        <f t="shared" si="167"/>
        <v>20</v>
      </c>
      <c r="F390" s="36">
        <f t="shared" si="167"/>
        <v>60</v>
      </c>
      <c r="G390" s="37">
        <f t="shared" si="167"/>
        <v>160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20</v>
      </c>
      <c r="D395" s="36">
        <f t="shared" si="168"/>
        <v>20</v>
      </c>
      <c r="E395" s="36">
        <f t="shared" si="168"/>
        <v>20</v>
      </c>
      <c r="F395" s="36">
        <f t="shared" si="168"/>
        <v>60</v>
      </c>
      <c r="G395" s="37">
        <f t="shared" si="168"/>
        <v>160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梅田!C68</f>
        <v>0</v>
      </c>
      <c r="D400" s="33">
        <f>梅田!E68</f>
        <v>0</v>
      </c>
      <c r="E400" s="33">
        <f>梅田!G68</f>
        <v>0</v>
      </c>
      <c r="F400" s="33">
        <f>梅田!I68</f>
        <v>0</v>
      </c>
      <c r="G400" s="34">
        <f>梅田!K68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20</v>
      </c>
      <c r="D403" s="36">
        <f t="shared" si="173"/>
        <v>20</v>
      </c>
      <c r="E403" s="36">
        <f t="shared" si="173"/>
        <v>20</v>
      </c>
      <c r="F403" s="36">
        <f t="shared" si="173"/>
        <v>60</v>
      </c>
      <c r="G403" s="37">
        <f t="shared" si="173"/>
        <v>160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monthClear">
                <anchor moveWithCells="1" sizeWithCells="1">
                  <from>
                    <xdr:col>8</xdr:col>
                    <xdr:colOff>114300</xdr:colOff>
                    <xdr:row>3</xdr:row>
                    <xdr:rowOff>76200</xdr:rowOff>
                  </from>
                  <to>
                    <xdr:col>11</xdr:col>
                    <xdr:colOff>342900</xdr:colOff>
                    <xdr:row>5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20</v>
      </c>
      <c r="D5" s="30">
        <f>SUM(D4,'6月'!D382)</f>
        <v>20</v>
      </c>
      <c r="E5" s="30">
        <f>SUM(E4,'6月'!E382)</f>
        <v>20</v>
      </c>
      <c r="F5" s="30">
        <f>SUM(F4,'6月'!F382)</f>
        <v>60</v>
      </c>
      <c r="G5" s="31">
        <f>SUM(G4,'6月'!G382)</f>
        <v>160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梅田!C73</f>
        <v>0</v>
      </c>
      <c r="D10" s="33">
        <f>梅田!E73</f>
        <v>0</v>
      </c>
      <c r="E10" s="33">
        <f>梅田!G73</f>
        <v>0</v>
      </c>
      <c r="F10" s="33">
        <f>梅田!I73</f>
        <v>0</v>
      </c>
      <c r="G10" s="34">
        <f>梅田!K73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20</v>
      </c>
      <c r="D13" s="36">
        <f t="shared" si="0"/>
        <v>20</v>
      </c>
      <c r="E13" s="36">
        <f t="shared" si="0"/>
        <v>20</v>
      </c>
      <c r="F13" s="36">
        <f>SUM(F5,F7,F9,F11)</f>
        <v>60</v>
      </c>
      <c r="G13" s="37">
        <f>SUM(G5,G7,G9,G11)</f>
        <v>160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20</v>
      </c>
      <c r="D18" s="36">
        <f t="shared" ref="D18:G18" si="1">SUM(D5,D17)</f>
        <v>20</v>
      </c>
      <c r="E18" s="36">
        <f t="shared" si="1"/>
        <v>20</v>
      </c>
      <c r="F18" s="36">
        <f t="shared" si="1"/>
        <v>60</v>
      </c>
      <c r="G18" s="37">
        <f t="shared" si="1"/>
        <v>160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梅田!C74</f>
        <v>0</v>
      </c>
      <c r="D23" s="33">
        <f>梅田!E74</f>
        <v>0</v>
      </c>
      <c r="E23" s="33">
        <f>梅田!G74</f>
        <v>0</v>
      </c>
      <c r="F23" s="33">
        <f>梅田!I74</f>
        <v>0</v>
      </c>
      <c r="G23" s="34">
        <f>梅田!K74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20</v>
      </c>
      <c r="D26" s="36">
        <f t="shared" si="5"/>
        <v>20</v>
      </c>
      <c r="E26" s="36">
        <f t="shared" si="5"/>
        <v>20</v>
      </c>
      <c r="F26" s="36">
        <f t="shared" si="5"/>
        <v>60</v>
      </c>
      <c r="G26" s="37">
        <f t="shared" si="5"/>
        <v>160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20</v>
      </c>
      <c r="D31" s="36">
        <f t="shared" si="6"/>
        <v>20</v>
      </c>
      <c r="E31" s="36">
        <f t="shared" si="6"/>
        <v>20</v>
      </c>
      <c r="F31" s="36">
        <f t="shared" si="6"/>
        <v>60</v>
      </c>
      <c r="G31" s="37">
        <f t="shared" si="6"/>
        <v>160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梅田!C75</f>
        <v>0</v>
      </c>
      <c r="D36" s="33">
        <f>梅田!E75</f>
        <v>0</v>
      </c>
      <c r="E36" s="33">
        <f>梅田!G75</f>
        <v>0</v>
      </c>
      <c r="F36" s="33">
        <f>梅田!I75</f>
        <v>0</v>
      </c>
      <c r="G36" s="34">
        <f>梅田!K75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20</v>
      </c>
      <c r="D39" s="36">
        <f t="shared" si="10"/>
        <v>20</v>
      </c>
      <c r="E39" s="36">
        <f t="shared" si="10"/>
        <v>20</v>
      </c>
      <c r="F39" s="36">
        <f t="shared" si="10"/>
        <v>60</v>
      </c>
      <c r="G39" s="37">
        <f t="shared" si="10"/>
        <v>160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20</v>
      </c>
      <c r="D44" s="36">
        <f t="shared" si="11"/>
        <v>20</v>
      </c>
      <c r="E44" s="36">
        <f t="shared" si="11"/>
        <v>20</v>
      </c>
      <c r="F44" s="36">
        <f t="shared" si="11"/>
        <v>60</v>
      </c>
      <c r="G44" s="37">
        <f t="shared" si="11"/>
        <v>160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梅田!C76</f>
        <v>0</v>
      </c>
      <c r="D49" s="33">
        <f>梅田!E76</f>
        <v>0</v>
      </c>
      <c r="E49" s="33">
        <f>梅田!G76</f>
        <v>0</v>
      </c>
      <c r="F49" s="33">
        <f>梅田!I76</f>
        <v>0</v>
      </c>
      <c r="G49" s="34">
        <f>梅田!K76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20</v>
      </c>
      <c r="D52" s="36">
        <f t="shared" si="16"/>
        <v>20</v>
      </c>
      <c r="E52" s="36">
        <f t="shared" si="16"/>
        <v>20</v>
      </c>
      <c r="F52" s="36">
        <f t="shared" si="16"/>
        <v>60</v>
      </c>
      <c r="G52" s="37">
        <f t="shared" si="16"/>
        <v>160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20</v>
      </c>
      <c r="D57" s="36">
        <f t="shared" si="17"/>
        <v>20</v>
      </c>
      <c r="E57" s="36">
        <f t="shared" si="17"/>
        <v>20</v>
      </c>
      <c r="F57" s="36">
        <f t="shared" si="17"/>
        <v>60</v>
      </c>
      <c r="G57" s="37">
        <f t="shared" si="17"/>
        <v>160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梅田!C77</f>
        <v>0</v>
      </c>
      <c r="D62" s="33">
        <f>梅田!E77</f>
        <v>0</v>
      </c>
      <c r="E62" s="33">
        <f>梅田!G77</f>
        <v>0</v>
      </c>
      <c r="F62" s="33">
        <f>梅田!I77</f>
        <v>0</v>
      </c>
      <c r="G62" s="34">
        <f>梅田!K77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20</v>
      </c>
      <c r="D65" s="36">
        <f t="shared" si="21"/>
        <v>20</v>
      </c>
      <c r="E65" s="36">
        <f t="shared" si="21"/>
        <v>20</v>
      </c>
      <c r="F65" s="36">
        <f t="shared" si="21"/>
        <v>60</v>
      </c>
      <c r="G65" s="37">
        <f t="shared" si="21"/>
        <v>160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20</v>
      </c>
      <c r="D70" s="36">
        <f t="shared" si="22"/>
        <v>20</v>
      </c>
      <c r="E70" s="36">
        <f t="shared" si="22"/>
        <v>20</v>
      </c>
      <c r="F70" s="36">
        <f t="shared" si="22"/>
        <v>60</v>
      </c>
      <c r="G70" s="37">
        <f t="shared" si="22"/>
        <v>160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梅田!C78</f>
        <v>0</v>
      </c>
      <c r="D75" s="33">
        <f>梅田!E78</f>
        <v>0</v>
      </c>
      <c r="E75" s="33">
        <f>梅田!G78</f>
        <v>0</v>
      </c>
      <c r="F75" s="33">
        <f>梅田!I78</f>
        <v>0</v>
      </c>
      <c r="G75" s="34">
        <f>梅田!K78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20</v>
      </c>
      <c r="D78" s="36">
        <f t="shared" si="26"/>
        <v>20</v>
      </c>
      <c r="E78" s="36">
        <f t="shared" si="26"/>
        <v>20</v>
      </c>
      <c r="F78" s="36">
        <f t="shared" si="26"/>
        <v>60</v>
      </c>
      <c r="G78" s="37">
        <f t="shared" si="26"/>
        <v>160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20</v>
      </c>
      <c r="D83" s="36">
        <f t="shared" si="27"/>
        <v>20</v>
      </c>
      <c r="E83" s="36">
        <f t="shared" si="27"/>
        <v>20</v>
      </c>
      <c r="F83" s="36">
        <f t="shared" si="27"/>
        <v>60</v>
      </c>
      <c r="G83" s="37">
        <f t="shared" si="27"/>
        <v>160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梅田!C79</f>
        <v>0</v>
      </c>
      <c r="D88" s="33">
        <f>梅田!E79</f>
        <v>0</v>
      </c>
      <c r="E88" s="33">
        <f>梅田!G79</f>
        <v>0</v>
      </c>
      <c r="F88" s="33">
        <f>梅田!I79</f>
        <v>0</v>
      </c>
      <c r="G88" s="34">
        <f>梅田!K79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20</v>
      </c>
      <c r="D91" s="36">
        <f t="shared" ref="D91:G91" si="31">SUM(D78,D90)</f>
        <v>20</v>
      </c>
      <c r="E91" s="36">
        <f t="shared" si="31"/>
        <v>20</v>
      </c>
      <c r="F91" s="36">
        <f t="shared" si="31"/>
        <v>60</v>
      </c>
      <c r="G91" s="37">
        <f t="shared" si="31"/>
        <v>160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20</v>
      </c>
      <c r="D96" s="36">
        <f t="shared" ref="D96:G96" si="32">SUM(D83,D95)</f>
        <v>20</v>
      </c>
      <c r="E96" s="36">
        <f t="shared" si="32"/>
        <v>20</v>
      </c>
      <c r="F96" s="36">
        <f t="shared" si="32"/>
        <v>60</v>
      </c>
      <c r="G96" s="37">
        <f t="shared" si="32"/>
        <v>160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梅田!C80</f>
        <v>0</v>
      </c>
      <c r="D101" s="33">
        <f>梅田!E80</f>
        <v>0</v>
      </c>
      <c r="E101" s="33">
        <f>梅田!G80</f>
        <v>0</v>
      </c>
      <c r="F101" s="33">
        <f>梅田!I80</f>
        <v>0</v>
      </c>
      <c r="G101" s="34">
        <f>梅田!K80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20</v>
      </c>
      <c r="D104" s="36">
        <f t="shared" ref="D104:G104" si="36">SUM(D91,D103)</f>
        <v>20</v>
      </c>
      <c r="E104" s="36">
        <f t="shared" si="36"/>
        <v>20</v>
      </c>
      <c r="F104" s="36">
        <f t="shared" si="36"/>
        <v>60</v>
      </c>
      <c r="G104" s="37">
        <f t="shared" si="36"/>
        <v>160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20</v>
      </c>
      <c r="D109" s="36">
        <f t="shared" si="37"/>
        <v>20</v>
      </c>
      <c r="E109" s="36">
        <f t="shared" si="37"/>
        <v>20</v>
      </c>
      <c r="F109" s="36">
        <f t="shared" si="37"/>
        <v>60</v>
      </c>
      <c r="G109" s="37">
        <f t="shared" si="37"/>
        <v>160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梅田!C81</f>
        <v>0</v>
      </c>
      <c r="D114" s="33">
        <f>梅田!E81</f>
        <v>0</v>
      </c>
      <c r="E114" s="33">
        <f>梅田!G81</f>
        <v>0</v>
      </c>
      <c r="F114" s="33">
        <f>梅田!I81</f>
        <v>0</v>
      </c>
      <c r="G114" s="34">
        <f>梅田!K81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20</v>
      </c>
      <c r="D117" s="36">
        <f t="shared" ref="D117:G117" si="41">SUM(D104,D116)</f>
        <v>20</v>
      </c>
      <c r="E117" s="36">
        <f t="shared" si="41"/>
        <v>20</v>
      </c>
      <c r="F117" s="36">
        <f t="shared" si="41"/>
        <v>60</v>
      </c>
      <c r="G117" s="37">
        <f t="shared" si="41"/>
        <v>160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20</v>
      </c>
      <c r="D122" s="36">
        <f t="shared" si="42"/>
        <v>20</v>
      </c>
      <c r="E122" s="36">
        <f t="shared" si="42"/>
        <v>20</v>
      </c>
      <c r="F122" s="36">
        <f t="shared" si="42"/>
        <v>60</v>
      </c>
      <c r="G122" s="37">
        <f t="shared" si="42"/>
        <v>160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梅田!C82</f>
        <v>0</v>
      </c>
      <c r="D127" s="33">
        <f>梅田!E82</f>
        <v>0</v>
      </c>
      <c r="E127" s="33">
        <f>梅田!G82</f>
        <v>0</v>
      </c>
      <c r="F127" s="33">
        <f>梅田!I82</f>
        <v>0</v>
      </c>
      <c r="G127" s="34">
        <f>梅田!K82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20</v>
      </c>
      <c r="D130" s="36">
        <f t="shared" si="47"/>
        <v>20</v>
      </c>
      <c r="E130" s="36">
        <f t="shared" si="47"/>
        <v>20</v>
      </c>
      <c r="F130" s="36">
        <f t="shared" si="47"/>
        <v>60</v>
      </c>
      <c r="G130" s="36">
        <f t="shared" si="47"/>
        <v>160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20</v>
      </c>
      <c r="D135" s="36">
        <f t="shared" ref="D135:G135" si="48">SUM(D122,D134)</f>
        <v>20</v>
      </c>
      <c r="E135" s="36">
        <f t="shared" si="48"/>
        <v>20</v>
      </c>
      <c r="F135" s="36">
        <f t="shared" si="48"/>
        <v>60</v>
      </c>
      <c r="G135" s="37">
        <f t="shared" si="48"/>
        <v>160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梅田!C83</f>
        <v>0</v>
      </c>
      <c r="D140" s="33">
        <f>梅田!E83</f>
        <v>0</v>
      </c>
      <c r="E140" s="33">
        <f>梅田!G83</f>
        <v>0</v>
      </c>
      <c r="F140" s="33">
        <f>梅田!I83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20</v>
      </c>
      <c r="D143" s="36">
        <f t="shared" si="53"/>
        <v>20</v>
      </c>
      <c r="E143" s="36">
        <f t="shared" si="53"/>
        <v>20</v>
      </c>
      <c r="F143" s="36">
        <f t="shared" si="53"/>
        <v>60</v>
      </c>
      <c r="G143" s="37">
        <f>SUM(G130,G142)</f>
        <v>160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20</v>
      </c>
      <c r="D148" s="36">
        <f t="shared" si="54"/>
        <v>20</v>
      </c>
      <c r="E148" s="36">
        <f t="shared" si="54"/>
        <v>20</v>
      </c>
      <c r="F148" s="36">
        <f t="shared" si="54"/>
        <v>60</v>
      </c>
      <c r="G148" s="37">
        <f t="shared" si="54"/>
        <v>160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梅田!C84</f>
        <v>0</v>
      </c>
      <c r="D153" s="33">
        <f>梅田!E84</f>
        <v>0</v>
      </c>
      <c r="E153" s="33">
        <f>梅田!G84</f>
        <v>0</v>
      </c>
      <c r="F153" s="33">
        <f>梅田!I84</f>
        <v>0</v>
      </c>
      <c r="G153" s="34">
        <f>梅田!K84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20</v>
      </c>
      <c r="D156" s="36">
        <f t="shared" si="58"/>
        <v>20</v>
      </c>
      <c r="E156" s="36">
        <f t="shared" si="58"/>
        <v>20</v>
      </c>
      <c r="F156" s="36">
        <f t="shared" si="58"/>
        <v>60</v>
      </c>
      <c r="G156" s="37">
        <f t="shared" si="58"/>
        <v>160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20</v>
      </c>
      <c r="D161" s="36">
        <f t="shared" ref="D161:G161" si="59">SUM(D148,D160)</f>
        <v>20</v>
      </c>
      <c r="E161" s="36">
        <f t="shared" si="59"/>
        <v>20</v>
      </c>
      <c r="F161" s="36">
        <f t="shared" si="59"/>
        <v>60</v>
      </c>
      <c r="G161" s="37">
        <f t="shared" si="59"/>
        <v>160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梅田!C85</f>
        <v>0</v>
      </c>
      <c r="D166" s="33">
        <f>梅田!E85</f>
        <v>0</v>
      </c>
      <c r="E166" s="33">
        <f>梅田!G85</f>
        <v>0</v>
      </c>
      <c r="F166" s="33">
        <f>梅田!I85</f>
        <v>0</v>
      </c>
      <c r="G166" s="34">
        <f>梅田!K85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20</v>
      </c>
      <c r="D169" s="36">
        <f t="shared" si="64"/>
        <v>20</v>
      </c>
      <c r="E169" s="36">
        <f t="shared" si="64"/>
        <v>20</v>
      </c>
      <c r="F169" s="36">
        <f t="shared" si="64"/>
        <v>60</v>
      </c>
      <c r="G169" s="37">
        <f t="shared" si="64"/>
        <v>160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20</v>
      </c>
      <c r="D174" s="36">
        <f t="shared" ref="D174:G174" si="65">SUM(D161,D173)</f>
        <v>20</v>
      </c>
      <c r="E174" s="36">
        <f t="shared" si="65"/>
        <v>20</v>
      </c>
      <c r="F174" s="36">
        <f t="shared" si="65"/>
        <v>60</v>
      </c>
      <c r="G174" s="37">
        <f t="shared" si="65"/>
        <v>160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梅田!C86</f>
        <v>0</v>
      </c>
      <c r="D179" s="33">
        <f>梅田!E86</f>
        <v>0</v>
      </c>
      <c r="E179" s="33">
        <f>梅田!G86</f>
        <v>0</v>
      </c>
      <c r="F179" s="33">
        <f>梅田!I86</f>
        <v>0</v>
      </c>
      <c r="G179" s="34">
        <f>梅田!K86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20</v>
      </c>
      <c r="D182" s="36">
        <f t="shared" si="70"/>
        <v>20</v>
      </c>
      <c r="E182" s="36">
        <f t="shared" si="70"/>
        <v>20</v>
      </c>
      <c r="F182" s="36">
        <f t="shared" si="70"/>
        <v>60</v>
      </c>
      <c r="G182" s="37">
        <f t="shared" si="70"/>
        <v>160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20</v>
      </c>
      <c r="D187" s="36">
        <f t="shared" ref="D187:G187" si="71">SUM(D174,D186)</f>
        <v>20</v>
      </c>
      <c r="E187" s="36">
        <f t="shared" si="71"/>
        <v>20</v>
      </c>
      <c r="F187" s="36">
        <f t="shared" si="71"/>
        <v>60</v>
      </c>
      <c r="G187" s="37">
        <f t="shared" si="71"/>
        <v>160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梅田!C87</f>
        <v>0</v>
      </c>
      <c r="D192" s="33">
        <f>梅田!E87</f>
        <v>0</v>
      </c>
      <c r="E192" s="33">
        <f>梅田!G87</f>
        <v>0</v>
      </c>
      <c r="F192" s="33">
        <f>梅田!I87</f>
        <v>0</v>
      </c>
      <c r="G192" s="34">
        <f>梅田!K87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20</v>
      </c>
      <c r="D195" s="36">
        <f t="shared" si="76"/>
        <v>20</v>
      </c>
      <c r="E195" s="36">
        <f t="shared" si="76"/>
        <v>20</v>
      </c>
      <c r="F195" s="36">
        <f t="shared" si="76"/>
        <v>60</v>
      </c>
      <c r="G195" s="37">
        <f t="shared" si="76"/>
        <v>160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20</v>
      </c>
      <c r="D200" s="36">
        <f t="shared" ref="D200:G200" si="77">SUM(D187,D199)</f>
        <v>20</v>
      </c>
      <c r="E200" s="36">
        <f t="shared" si="77"/>
        <v>20</v>
      </c>
      <c r="F200" s="36">
        <f t="shared" si="77"/>
        <v>60</v>
      </c>
      <c r="G200" s="37">
        <f t="shared" si="77"/>
        <v>160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梅田!C88</f>
        <v>0</v>
      </c>
      <c r="D205" s="33">
        <f>梅田!E88</f>
        <v>0</v>
      </c>
      <c r="E205" s="33">
        <f>梅田!G88</f>
        <v>0</v>
      </c>
      <c r="F205" s="33">
        <f>梅田!I88</f>
        <v>0</v>
      </c>
      <c r="G205" s="34">
        <f>梅田!K88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20</v>
      </c>
      <c r="D208" s="36">
        <f t="shared" si="82"/>
        <v>20</v>
      </c>
      <c r="E208" s="36">
        <f t="shared" si="82"/>
        <v>20</v>
      </c>
      <c r="F208" s="36">
        <f t="shared" si="82"/>
        <v>60</v>
      </c>
      <c r="G208" s="37">
        <f t="shared" si="82"/>
        <v>160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20</v>
      </c>
      <c r="D213" s="36">
        <f t="shared" si="83"/>
        <v>20</v>
      </c>
      <c r="E213" s="36">
        <f t="shared" si="83"/>
        <v>20</v>
      </c>
      <c r="F213" s="36">
        <f t="shared" si="83"/>
        <v>60</v>
      </c>
      <c r="G213" s="37">
        <f t="shared" si="83"/>
        <v>160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梅田!C89</f>
        <v>0</v>
      </c>
      <c r="D218" s="33">
        <f>梅田!E89</f>
        <v>0</v>
      </c>
      <c r="E218" s="33">
        <f>梅田!G89</f>
        <v>0</v>
      </c>
      <c r="F218" s="33">
        <f>梅田!I89</f>
        <v>0</v>
      </c>
      <c r="G218" s="34">
        <f>梅田!K89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20</v>
      </c>
      <c r="D221" s="36">
        <f t="shared" si="88"/>
        <v>20</v>
      </c>
      <c r="E221" s="36">
        <f t="shared" si="88"/>
        <v>20</v>
      </c>
      <c r="F221" s="36">
        <f t="shared" si="88"/>
        <v>60</v>
      </c>
      <c r="G221" s="37">
        <f t="shared" si="88"/>
        <v>160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20</v>
      </c>
      <c r="D226" s="36">
        <f t="shared" si="89"/>
        <v>20</v>
      </c>
      <c r="E226" s="36">
        <f t="shared" si="89"/>
        <v>20</v>
      </c>
      <c r="F226" s="36">
        <f t="shared" si="89"/>
        <v>60</v>
      </c>
      <c r="G226" s="37">
        <f t="shared" si="89"/>
        <v>160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梅田!C90</f>
        <v>0</v>
      </c>
      <c r="D231" s="33">
        <f>梅田!E90</f>
        <v>0</v>
      </c>
      <c r="E231" s="33">
        <f>梅田!G90</f>
        <v>0</v>
      </c>
      <c r="F231" s="33">
        <f>梅田!I90</f>
        <v>0</v>
      </c>
      <c r="G231" s="34">
        <f>梅田!K90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20</v>
      </c>
      <c r="D234" s="36">
        <f t="shared" si="94"/>
        <v>20</v>
      </c>
      <c r="E234" s="36">
        <f t="shared" si="94"/>
        <v>20</v>
      </c>
      <c r="F234" s="36">
        <f t="shared" si="94"/>
        <v>60</v>
      </c>
      <c r="G234" s="37">
        <f t="shared" si="94"/>
        <v>160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20</v>
      </c>
      <c r="D239" s="36">
        <f t="shared" si="95"/>
        <v>20</v>
      </c>
      <c r="E239" s="36">
        <f t="shared" si="95"/>
        <v>20</v>
      </c>
      <c r="F239" s="36">
        <f t="shared" si="95"/>
        <v>60</v>
      </c>
      <c r="G239" s="37">
        <f t="shared" si="95"/>
        <v>160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梅田!C91</f>
        <v>0</v>
      </c>
      <c r="D244" s="33">
        <f>梅田!E91</f>
        <v>0</v>
      </c>
      <c r="E244" s="33">
        <f>梅田!G91</f>
        <v>0</v>
      </c>
      <c r="F244" s="33">
        <f>梅田!I91</f>
        <v>0</v>
      </c>
      <c r="G244" s="34">
        <f>梅田!K91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20</v>
      </c>
      <c r="D247" s="36">
        <f t="shared" si="100"/>
        <v>20</v>
      </c>
      <c r="E247" s="36">
        <f t="shared" si="100"/>
        <v>20</v>
      </c>
      <c r="F247" s="36">
        <f t="shared" si="100"/>
        <v>60</v>
      </c>
      <c r="G247" s="37">
        <f t="shared" si="100"/>
        <v>160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20</v>
      </c>
      <c r="D252" s="36">
        <f t="shared" si="101"/>
        <v>20</v>
      </c>
      <c r="E252" s="36">
        <f t="shared" si="101"/>
        <v>20</v>
      </c>
      <c r="F252" s="36">
        <f t="shared" si="101"/>
        <v>60</v>
      </c>
      <c r="G252" s="37">
        <f t="shared" si="101"/>
        <v>160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梅田!C92</f>
        <v>0</v>
      </c>
      <c r="D257" s="33">
        <f>梅田!E92</f>
        <v>0</v>
      </c>
      <c r="E257" s="33">
        <f>梅田!G92</f>
        <v>0</v>
      </c>
      <c r="F257" s="33">
        <f>梅田!I92</f>
        <v>0</v>
      </c>
      <c r="G257" s="34">
        <f>梅田!K92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20</v>
      </c>
      <c r="D260" s="36">
        <f t="shared" si="106"/>
        <v>20</v>
      </c>
      <c r="E260" s="36">
        <f t="shared" si="106"/>
        <v>20</v>
      </c>
      <c r="F260" s="36">
        <f t="shared" si="106"/>
        <v>60</v>
      </c>
      <c r="G260" s="37">
        <f t="shared" si="106"/>
        <v>160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20</v>
      </c>
      <c r="D265" s="36">
        <f t="shared" si="107"/>
        <v>20</v>
      </c>
      <c r="E265" s="36">
        <f t="shared" si="107"/>
        <v>20</v>
      </c>
      <c r="F265" s="36">
        <f t="shared" si="107"/>
        <v>60</v>
      </c>
      <c r="G265" s="37">
        <f t="shared" si="107"/>
        <v>160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梅田!C93</f>
        <v>0</v>
      </c>
      <c r="D270" s="33">
        <f>梅田!E93</f>
        <v>0</v>
      </c>
      <c r="E270" s="33">
        <f>梅田!G93</f>
        <v>0</v>
      </c>
      <c r="F270" s="33">
        <f>梅田!I93</f>
        <v>0</v>
      </c>
      <c r="G270" s="34">
        <f>梅田!K93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20</v>
      </c>
      <c r="D273" s="36">
        <f t="shared" si="112"/>
        <v>20</v>
      </c>
      <c r="E273" s="36">
        <f t="shared" si="112"/>
        <v>20</v>
      </c>
      <c r="F273" s="36">
        <f t="shared" si="112"/>
        <v>60</v>
      </c>
      <c r="G273" s="37">
        <f t="shared" si="112"/>
        <v>160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20</v>
      </c>
      <c r="D278" s="36">
        <f t="shared" si="113"/>
        <v>20</v>
      </c>
      <c r="E278" s="36">
        <f t="shared" si="113"/>
        <v>20</v>
      </c>
      <c r="F278" s="36">
        <f t="shared" si="113"/>
        <v>60</v>
      </c>
      <c r="G278" s="37">
        <f t="shared" si="113"/>
        <v>160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梅田!C94</f>
        <v>0</v>
      </c>
      <c r="D283" s="33">
        <f>梅田!E94</f>
        <v>0</v>
      </c>
      <c r="E283" s="33">
        <f>梅田!G94</f>
        <v>0</v>
      </c>
      <c r="F283" s="33">
        <f>梅田!I94</f>
        <v>0</v>
      </c>
      <c r="G283" s="34">
        <f>梅田!K94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20</v>
      </c>
      <c r="D286" s="36">
        <f t="shared" si="118"/>
        <v>20</v>
      </c>
      <c r="E286" s="36">
        <f t="shared" si="118"/>
        <v>20</v>
      </c>
      <c r="F286" s="36">
        <f t="shared" si="118"/>
        <v>60</v>
      </c>
      <c r="G286" s="37">
        <f t="shared" si="118"/>
        <v>160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20</v>
      </c>
      <c r="D291" s="36">
        <f t="shared" si="119"/>
        <v>20</v>
      </c>
      <c r="E291" s="36">
        <f t="shared" si="119"/>
        <v>20</v>
      </c>
      <c r="F291" s="36">
        <f t="shared" si="119"/>
        <v>60</v>
      </c>
      <c r="G291" s="37">
        <f t="shared" si="119"/>
        <v>160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梅田!C95</f>
        <v>0</v>
      </c>
      <c r="D296" s="33">
        <f>梅田!E95</f>
        <v>0</v>
      </c>
      <c r="E296" s="33">
        <f>梅田!G95</f>
        <v>0</v>
      </c>
      <c r="F296" s="33">
        <f>梅田!I95</f>
        <v>0</v>
      </c>
      <c r="G296" s="34">
        <f>梅田!K95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20</v>
      </c>
      <c r="D299" s="36">
        <f t="shared" si="124"/>
        <v>20</v>
      </c>
      <c r="E299" s="36">
        <f t="shared" si="124"/>
        <v>20</v>
      </c>
      <c r="F299" s="36">
        <f t="shared" si="124"/>
        <v>60</v>
      </c>
      <c r="G299" s="37">
        <f t="shared" si="124"/>
        <v>160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20</v>
      </c>
      <c r="D304" s="36">
        <f t="shared" si="125"/>
        <v>20</v>
      </c>
      <c r="E304" s="36">
        <f t="shared" si="125"/>
        <v>20</v>
      </c>
      <c r="F304" s="36">
        <f t="shared" si="125"/>
        <v>60</v>
      </c>
      <c r="G304" s="37">
        <f t="shared" si="125"/>
        <v>160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梅田!C96</f>
        <v>0</v>
      </c>
      <c r="D309" s="33">
        <f>梅田!E96</f>
        <v>0</v>
      </c>
      <c r="E309" s="33">
        <f>梅田!G96</f>
        <v>0</v>
      </c>
      <c r="F309" s="33">
        <f>梅田!I96</f>
        <v>0</v>
      </c>
      <c r="G309" s="34">
        <f>梅田!K96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20</v>
      </c>
      <c r="D312" s="36">
        <f t="shared" si="130"/>
        <v>20</v>
      </c>
      <c r="E312" s="36">
        <f t="shared" si="130"/>
        <v>20</v>
      </c>
      <c r="F312" s="36">
        <f t="shared" si="130"/>
        <v>60</v>
      </c>
      <c r="G312" s="37">
        <f t="shared" si="130"/>
        <v>160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20</v>
      </c>
      <c r="D317" s="36">
        <f t="shared" si="131"/>
        <v>20</v>
      </c>
      <c r="E317" s="36">
        <f t="shared" si="131"/>
        <v>20</v>
      </c>
      <c r="F317" s="36">
        <f t="shared" si="131"/>
        <v>60</v>
      </c>
      <c r="G317" s="37">
        <f t="shared" si="131"/>
        <v>160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梅田!C97</f>
        <v>0</v>
      </c>
      <c r="D322" s="33">
        <f>梅田!E97</f>
        <v>0</v>
      </c>
      <c r="E322" s="33">
        <f>梅田!G97</f>
        <v>0</v>
      </c>
      <c r="F322" s="33">
        <f>梅田!I97</f>
        <v>0</v>
      </c>
      <c r="G322" s="34">
        <f>梅田!K97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20</v>
      </c>
      <c r="D325" s="36">
        <f t="shared" si="136"/>
        <v>20</v>
      </c>
      <c r="E325" s="36">
        <f t="shared" si="136"/>
        <v>20</v>
      </c>
      <c r="F325" s="36">
        <f t="shared" si="136"/>
        <v>60</v>
      </c>
      <c r="G325" s="37">
        <f t="shared" si="136"/>
        <v>160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20</v>
      </c>
      <c r="D330" s="36">
        <f t="shared" si="137"/>
        <v>20</v>
      </c>
      <c r="E330" s="36">
        <f t="shared" si="137"/>
        <v>20</v>
      </c>
      <c r="F330" s="36">
        <f t="shared" si="137"/>
        <v>60</v>
      </c>
      <c r="G330" s="37">
        <f t="shared" si="137"/>
        <v>160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梅田!C98</f>
        <v>0</v>
      </c>
      <c r="D335" s="33">
        <f>梅田!E98</f>
        <v>0</v>
      </c>
      <c r="E335" s="33">
        <f>梅田!G98</f>
        <v>0</v>
      </c>
      <c r="F335" s="33">
        <f>梅田!I98</f>
        <v>0</v>
      </c>
      <c r="G335" s="34">
        <f>梅田!K98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20</v>
      </c>
      <c r="D338" s="36">
        <f t="shared" si="142"/>
        <v>20</v>
      </c>
      <c r="E338" s="36">
        <f t="shared" si="142"/>
        <v>20</v>
      </c>
      <c r="F338" s="36">
        <f t="shared" si="142"/>
        <v>60</v>
      </c>
      <c r="G338" s="37">
        <f t="shared" si="142"/>
        <v>160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20</v>
      </c>
      <c r="D343" s="36">
        <f t="shared" si="143"/>
        <v>20</v>
      </c>
      <c r="E343" s="36">
        <f t="shared" si="143"/>
        <v>20</v>
      </c>
      <c r="F343" s="36">
        <f t="shared" si="143"/>
        <v>60</v>
      </c>
      <c r="G343" s="37">
        <f t="shared" si="143"/>
        <v>160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梅田!C99</f>
        <v>0</v>
      </c>
      <c r="D348" s="33">
        <f>梅田!E99</f>
        <v>0</v>
      </c>
      <c r="E348" s="33">
        <f>梅田!G99</f>
        <v>0</v>
      </c>
      <c r="F348" s="33">
        <f>梅田!I99</f>
        <v>0</v>
      </c>
      <c r="G348" s="34">
        <f>梅田!K99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20</v>
      </c>
      <c r="D351" s="36">
        <f t="shared" si="148"/>
        <v>20</v>
      </c>
      <c r="E351" s="36">
        <f t="shared" si="148"/>
        <v>20</v>
      </c>
      <c r="F351" s="36">
        <f t="shared" si="148"/>
        <v>60</v>
      </c>
      <c r="G351" s="37">
        <f t="shared" si="148"/>
        <v>160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20</v>
      </c>
      <c r="D356" s="36">
        <f t="shared" si="149"/>
        <v>20</v>
      </c>
      <c r="E356" s="36">
        <f t="shared" si="149"/>
        <v>20</v>
      </c>
      <c r="F356" s="36">
        <f t="shared" si="149"/>
        <v>60</v>
      </c>
      <c r="G356" s="37">
        <f t="shared" si="149"/>
        <v>160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梅田!C100</f>
        <v>0</v>
      </c>
      <c r="D361" s="33">
        <f>梅田!E100</f>
        <v>0</v>
      </c>
      <c r="E361" s="33">
        <f>梅田!G100</f>
        <v>0</v>
      </c>
      <c r="F361" s="33">
        <f>梅田!I100</f>
        <v>0</v>
      </c>
      <c r="G361" s="34">
        <f>梅田!K100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20</v>
      </c>
      <c r="D364" s="36">
        <f t="shared" si="154"/>
        <v>20</v>
      </c>
      <c r="E364" s="36">
        <f t="shared" si="154"/>
        <v>20</v>
      </c>
      <c r="F364" s="36">
        <f t="shared" si="154"/>
        <v>60</v>
      </c>
      <c r="G364" s="37">
        <f t="shared" si="154"/>
        <v>160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20</v>
      </c>
      <c r="D369" s="36">
        <f t="shared" si="155"/>
        <v>20</v>
      </c>
      <c r="E369" s="36">
        <f t="shared" si="155"/>
        <v>20</v>
      </c>
      <c r="F369" s="36">
        <f t="shared" si="155"/>
        <v>60</v>
      </c>
      <c r="G369" s="37">
        <f t="shared" si="155"/>
        <v>160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梅田!C101</f>
        <v>0</v>
      </c>
      <c r="D374" s="33">
        <f>梅田!E101</f>
        <v>0</v>
      </c>
      <c r="E374" s="33">
        <f>梅田!G101</f>
        <v>0</v>
      </c>
      <c r="F374" s="33">
        <f>梅田!I101</f>
        <v>0</v>
      </c>
      <c r="G374" s="34">
        <f>梅田!K101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20</v>
      </c>
      <c r="D377" s="36">
        <f t="shared" si="160"/>
        <v>20</v>
      </c>
      <c r="E377" s="36">
        <f t="shared" si="160"/>
        <v>20</v>
      </c>
      <c r="F377" s="36">
        <f t="shared" si="160"/>
        <v>60</v>
      </c>
      <c r="G377" s="37">
        <f t="shared" si="160"/>
        <v>160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20</v>
      </c>
      <c r="D382" s="36">
        <f t="shared" si="161"/>
        <v>20</v>
      </c>
      <c r="E382" s="36">
        <f t="shared" si="161"/>
        <v>20</v>
      </c>
      <c r="F382" s="36">
        <f t="shared" si="161"/>
        <v>60</v>
      </c>
      <c r="G382" s="37">
        <f t="shared" si="161"/>
        <v>160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梅田!C102</f>
        <v>0</v>
      </c>
      <c r="D387" s="33">
        <f>梅田!E102</f>
        <v>0</v>
      </c>
      <c r="E387" s="33">
        <f>梅田!G102</f>
        <v>0</v>
      </c>
      <c r="F387" s="33">
        <f>梅田!I102</f>
        <v>0</v>
      </c>
      <c r="G387" s="34">
        <f>梅田!K102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20</v>
      </c>
      <c r="D390" s="36">
        <f t="shared" si="166"/>
        <v>20</v>
      </c>
      <c r="E390" s="36">
        <f t="shared" si="166"/>
        <v>20</v>
      </c>
      <c r="F390" s="36">
        <f t="shared" si="166"/>
        <v>60</v>
      </c>
      <c r="G390" s="37">
        <f t="shared" si="166"/>
        <v>160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20</v>
      </c>
      <c r="D395" s="36">
        <f t="shared" si="167"/>
        <v>20</v>
      </c>
      <c r="E395" s="36">
        <f t="shared" si="167"/>
        <v>20</v>
      </c>
      <c r="F395" s="36">
        <f t="shared" si="167"/>
        <v>60</v>
      </c>
      <c r="G395" s="37">
        <f t="shared" si="167"/>
        <v>160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梅田!C103</f>
        <v>0</v>
      </c>
      <c r="D400" s="33">
        <f>梅田!E103</f>
        <v>0</v>
      </c>
      <c r="E400" s="33">
        <f>梅田!G103</f>
        <v>0</v>
      </c>
      <c r="F400" s="33">
        <f>梅田!I103</f>
        <v>0</v>
      </c>
      <c r="G400" s="34">
        <f>梅田!K103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20</v>
      </c>
      <c r="D403" s="36">
        <f t="shared" si="172"/>
        <v>20</v>
      </c>
      <c r="E403" s="36">
        <f t="shared" si="172"/>
        <v>20</v>
      </c>
      <c r="F403" s="36">
        <f t="shared" si="172"/>
        <v>60</v>
      </c>
      <c r="G403" s="37">
        <f t="shared" si="172"/>
        <v>160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20</v>
      </c>
      <c r="D5" s="30">
        <f>SUM(D4,'7月'!D395)</f>
        <v>20</v>
      </c>
      <c r="E5" s="30">
        <f>SUM(E4,'7月'!E395)</f>
        <v>20</v>
      </c>
      <c r="F5" s="30">
        <f>SUM(F4,'7月'!F395)</f>
        <v>60</v>
      </c>
      <c r="G5" s="31">
        <f>SUM(G4,'7月'!G395)</f>
        <v>160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梅田!C108</f>
        <v>0</v>
      </c>
      <c r="D10" s="33">
        <f>梅田!E108</f>
        <v>0</v>
      </c>
      <c r="E10" s="33">
        <f>梅田!G108</f>
        <v>0</v>
      </c>
      <c r="F10" s="33">
        <f>梅田!I108</f>
        <v>0</v>
      </c>
      <c r="G10" s="34">
        <f>梅田!K108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20</v>
      </c>
      <c r="D13" s="36">
        <f t="shared" si="0"/>
        <v>20</v>
      </c>
      <c r="E13" s="36">
        <f t="shared" si="0"/>
        <v>20</v>
      </c>
      <c r="F13" s="36">
        <f>SUM(F5,F7,F9,F11)</f>
        <v>60</v>
      </c>
      <c r="G13" s="37">
        <f>SUM(G5,G7,G9,G11)</f>
        <v>160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20</v>
      </c>
      <c r="D18" s="36">
        <f t="shared" ref="D18:G18" si="1">SUM(D5,D17)</f>
        <v>20</v>
      </c>
      <c r="E18" s="36">
        <f t="shared" si="1"/>
        <v>20</v>
      </c>
      <c r="F18" s="36">
        <f t="shared" si="1"/>
        <v>60</v>
      </c>
      <c r="G18" s="37">
        <f t="shared" si="1"/>
        <v>160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梅田!C109</f>
        <v>0</v>
      </c>
      <c r="D23" s="33">
        <f>梅田!E109</f>
        <v>0</v>
      </c>
      <c r="E23" s="33">
        <f>梅田!G109</f>
        <v>0</v>
      </c>
      <c r="F23" s="33">
        <f>梅田!I109</f>
        <v>0</v>
      </c>
      <c r="G23" s="34">
        <f>梅田!K109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20</v>
      </c>
      <c r="D26" s="36">
        <f t="shared" si="5"/>
        <v>20</v>
      </c>
      <c r="E26" s="36">
        <f t="shared" si="5"/>
        <v>20</v>
      </c>
      <c r="F26" s="36">
        <f t="shared" si="5"/>
        <v>60</v>
      </c>
      <c r="G26" s="37">
        <f t="shared" si="5"/>
        <v>160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20</v>
      </c>
      <c r="D31" s="36">
        <f t="shared" si="6"/>
        <v>20</v>
      </c>
      <c r="E31" s="36">
        <f t="shared" si="6"/>
        <v>20</v>
      </c>
      <c r="F31" s="36">
        <f t="shared" si="6"/>
        <v>60</v>
      </c>
      <c r="G31" s="37">
        <f t="shared" si="6"/>
        <v>160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梅田!C110</f>
        <v>0</v>
      </c>
      <c r="D36" s="33">
        <f>梅田!E110</f>
        <v>0</v>
      </c>
      <c r="E36" s="33">
        <f>梅田!G110</f>
        <v>0</v>
      </c>
      <c r="F36" s="33">
        <f>梅田!I110</f>
        <v>0</v>
      </c>
      <c r="G36" s="34">
        <f>梅田!K110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20</v>
      </c>
      <c r="D39" s="36">
        <f t="shared" si="10"/>
        <v>20</v>
      </c>
      <c r="E39" s="36">
        <f t="shared" si="10"/>
        <v>20</v>
      </c>
      <c r="F39" s="36">
        <f t="shared" si="10"/>
        <v>60</v>
      </c>
      <c r="G39" s="37">
        <f t="shared" si="10"/>
        <v>160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20</v>
      </c>
      <c r="D44" s="36">
        <f t="shared" si="11"/>
        <v>20</v>
      </c>
      <c r="E44" s="36">
        <f t="shared" si="11"/>
        <v>20</v>
      </c>
      <c r="F44" s="36">
        <f t="shared" si="11"/>
        <v>60</v>
      </c>
      <c r="G44" s="37">
        <f t="shared" si="11"/>
        <v>160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梅田!C111</f>
        <v>0</v>
      </c>
      <c r="D49" s="33">
        <f>梅田!E111</f>
        <v>0</v>
      </c>
      <c r="E49" s="33">
        <f>梅田!G111</f>
        <v>0</v>
      </c>
      <c r="F49" s="33">
        <f>梅田!I111</f>
        <v>0</v>
      </c>
      <c r="G49" s="34">
        <f>梅田!K111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20</v>
      </c>
      <c r="D52" s="36">
        <f t="shared" si="16"/>
        <v>20</v>
      </c>
      <c r="E52" s="36">
        <f t="shared" si="16"/>
        <v>20</v>
      </c>
      <c r="F52" s="36">
        <f t="shared" si="16"/>
        <v>60</v>
      </c>
      <c r="G52" s="37">
        <f t="shared" si="16"/>
        <v>160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20</v>
      </c>
      <c r="D57" s="36">
        <f t="shared" si="17"/>
        <v>20</v>
      </c>
      <c r="E57" s="36">
        <f t="shared" si="17"/>
        <v>20</v>
      </c>
      <c r="F57" s="36">
        <f t="shared" si="17"/>
        <v>60</v>
      </c>
      <c r="G57" s="37">
        <f t="shared" si="17"/>
        <v>160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梅田!C112</f>
        <v>0</v>
      </c>
      <c r="D62" s="33">
        <f>梅田!E112</f>
        <v>0</v>
      </c>
      <c r="E62" s="33">
        <f>梅田!G112</f>
        <v>0</v>
      </c>
      <c r="F62" s="33">
        <f>梅田!I112</f>
        <v>0</v>
      </c>
      <c r="G62" s="34">
        <f>梅田!K112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20</v>
      </c>
      <c r="D65" s="36">
        <f t="shared" si="21"/>
        <v>20</v>
      </c>
      <c r="E65" s="36">
        <f t="shared" si="21"/>
        <v>20</v>
      </c>
      <c r="F65" s="36">
        <f t="shared" si="21"/>
        <v>60</v>
      </c>
      <c r="G65" s="37">
        <f t="shared" si="21"/>
        <v>160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20</v>
      </c>
      <c r="D70" s="36">
        <f t="shared" si="22"/>
        <v>20</v>
      </c>
      <c r="E70" s="36">
        <f t="shared" si="22"/>
        <v>20</v>
      </c>
      <c r="F70" s="36">
        <f t="shared" si="22"/>
        <v>60</v>
      </c>
      <c r="G70" s="37">
        <f t="shared" si="22"/>
        <v>160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梅田!C113</f>
        <v>0</v>
      </c>
      <c r="D75" s="33">
        <f>梅田!E113</f>
        <v>0</v>
      </c>
      <c r="E75" s="33">
        <f>梅田!G113</f>
        <v>0</v>
      </c>
      <c r="F75" s="33">
        <f>梅田!I113</f>
        <v>0</v>
      </c>
      <c r="G75" s="34">
        <f>梅田!K113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20</v>
      </c>
      <c r="D78" s="36">
        <f t="shared" si="26"/>
        <v>20</v>
      </c>
      <c r="E78" s="36">
        <f t="shared" si="26"/>
        <v>20</v>
      </c>
      <c r="F78" s="36">
        <f t="shared" si="26"/>
        <v>60</v>
      </c>
      <c r="G78" s="37">
        <f t="shared" si="26"/>
        <v>160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20</v>
      </c>
      <c r="D83" s="36">
        <f t="shared" si="27"/>
        <v>20</v>
      </c>
      <c r="E83" s="36">
        <f t="shared" si="27"/>
        <v>20</v>
      </c>
      <c r="F83" s="36">
        <f t="shared" si="27"/>
        <v>60</v>
      </c>
      <c r="G83" s="37">
        <f t="shared" si="27"/>
        <v>160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梅田!C114</f>
        <v>0</v>
      </c>
      <c r="D88" s="33">
        <f>梅田!E114</f>
        <v>0</v>
      </c>
      <c r="E88" s="33">
        <f>梅田!G114</f>
        <v>0</v>
      </c>
      <c r="F88" s="33">
        <f>梅田!I114</f>
        <v>0</v>
      </c>
      <c r="G88" s="34">
        <f>梅田!K114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20</v>
      </c>
      <c r="D91" s="36">
        <f t="shared" ref="D91:G91" si="31">SUM(D78,D90)</f>
        <v>20</v>
      </c>
      <c r="E91" s="36">
        <f t="shared" si="31"/>
        <v>20</v>
      </c>
      <c r="F91" s="36">
        <f t="shared" si="31"/>
        <v>60</v>
      </c>
      <c r="G91" s="37">
        <f t="shared" si="31"/>
        <v>160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20</v>
      </c>
      <c r="D96" s="36">
        <f t="shared" ref="D96:G96" si="32">SUM(D83,D95)</f>
        <v>20</v>
      </c>
      <c r="E96" s="36">
        <f t="shared" si="32"/>
        <v>20</v>
      </c>
      <c r="F96" s="36">
        <f t="shared" si="32"/>
        <v>60</v>
      </c>
      <c r="G96" s="37">
        <f t="shared" si="32"/>
        <v>160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梅田!C115</f>
        <v>0</v>
      </c>
      <c r="D101" s="33">
        <f>梅田!E115</f>
        <v>0</v>
      </c>
      <c r="E101" s="33">
        <f>梅田!G115</f>
        <v>0</v>
      </c>
      <c r="F101" s="33">
        <f>梅田!I115</f>
        <v>0</v>
      </c>
      <c r="G101" s="34">
        <f>梅田!K115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20</v>
      </c>
      <c r="D104" s="36">
        <f t="shared" ref="D104:G104" si="36">SUM(D91,D103)</f>
        <v>20</v>
      </c>
      <c r="E104" s="36">
        <f t="shared" si="36"/>
        <v>20</v>
      </c>
      <c r="F104" s="36">
        <f t="shared" si="36"/>
        <v>60</v>
      </c>
      <c r="G104" s="37">
        <f t="shared" si="36"/>
        <v>160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20</v>
      </c>
      <c r="D109" s="36">
        <f t="shared" si="37"/>
        <v>20</v>
      </c>
      <c r="E109" s="36">
        <f t="shared" si="37"/>
        <v>20</v>
      </c>
      <c r="F109" s="36">
        <f t="shared" si="37"/>
        <v>60</v>
      </c>
      <c r="G109" s="37">
        <f t="shared" si="37"/>
        <v>160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梅田!C116</f>
        <v>0</v>
      </c>
      <c r="D114" s="33">
        <f>梅田!E116</f>
        <v>0</v>
      </c>
      <c r="E114" s="33">
        <f>梅田!G116</f>
        <v>0</v>
      </c>
      <c r="F114" s="33">
        <f>梅田!I116</f>
        <v>0</v>
      </c>
      <c r="G114" s="34">
        <f>梅田!K116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20</v>
      </c>
      <c r="D117" s="36">
        <f t="shared" ref="D117:G117" si="41">SUM(D104,D116)</f>
        <v>20</v>
      </c>
      <c r="E117" s="36">
        <f t="shared" si="41"/>
        <v>20</v>
      </c>
      <c r="F117" s="36">
        <f t="shared" si="41"/>
        <v>60</v>
      </c>
      <c r="G117" s="37">
        <f t="shared" si="41"/>
        <v>160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20</v>
      </c>
      <c r="D122" s="36">
        <f t="shared" si="42"/>
        <v>20</v>
      </c>
      <c r="E122" s="36">
        <f t="shared" si="42"/>
        <v>20</v>
      </c>
      <c r="F122" s="36">
        <f t="shared" si="42"/>
        <v>60</v>
      </c>
      <c r="G122" s="37">
        <f t="shared" si="42"/>
        <v>160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梅田!C117</f>
        <v>0</v>
      </c>
      <c r="D127" s="33">
        <f>梅田!E117</f>
        <v>0</v>
      </c>
      <c r="E127" s="33">
        <f>梅田!G117</f>
        <v>0</v>
      </c>
      <c r="F127" s="33">
        <f>梅田!I117</f>
        <v>0</v>
      </c>
      <c r="G127" s="34">
        <f>梅田!K117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20</v>
      </c>
      <c r="D130" s="36">
        <f t="shared" si="47"/>
        <v>20</v>
      </c>
      <c r="E130" s="36">
        <f t="shared" si="47"/>
        <v>20</v>
      </c>
      <c r="F130" s="36">
        <f t="shared" si="47"/>
        <v>60</v>
      </c>
      <c r="G130" s="36">
        <f t="shared" si="47"/>
        <v>160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20</v>
      </c>
      <c r="D135" s="36">
        <f t="shared" ref="D135:G135" si="48">SUM(D122,D134)</f>
        <v>20</v>
      </c>
      <c r="E135" s="36">
        <f t="shared" si="48"/>
        <v>20</v>
      </c>
      <c r="F135" s="36">
        <f t="shared" si="48"/>
        <v>60</v>
      </c>
      <c r="G135" s="37">
        <f t="shared" si="48"/>
        <v>160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梅田!C118</f>
        <v>0</v>
      </c>
      <c r="D140" s="33">
        <f>梅田!E118</f>
        <v>0</v>
      </c>
      <c r="E140" s="33">
        <f>梅田!G118</f>
        <v>0</v>
      </c>
      <c r="F140" s="33">
        <f>梅田!I118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20</v>
      </c>
      <c r="D143" s="36">
        <f t="shared" si="53"/>
        <v>20</v>
      </c>
      <c r="E143" s="36">
        <f t="shared" si="53"/>
        <v>20</v>
      </c>
      <c r="F143" s="36">
        <f t="shared" si="53"/>
        <v>60</v>
      </c>
      <c r="G143" s="37">
        <f>SUM(G130,G142)</f>
        <v>160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20</v>
      </c>
      <c r="D148" s="36">
        <f t="shared" si="54"/>
        <v>20</v>
      </c>
      <c r="E148" s="36">
        <f t="shared" si="54"/>
        <v>20</v>
      </c>
      <c r="F148" s="36">
        <f t="shared" si="54"/>
        <v>60</v>
      </c>
      <c r="G148" s="37">
        <f t="shared" si="54"/>
        <v>160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梅田!C119</f>
        <v>0</v>
      </c>
      <c r="D153" s="33">
        <f>梅田!E119</f>
        <v>0</v>
      </c>
      <c r="E153" s="33">
        <f>梅田!G119</f>
        <v>0</v>
      </c>
      <c r="F153" s="33">
        <f>梅田!I119</f>
        <v>0</v>
      </c>
      <c r="G153" s="34">
        <f>梅田!K119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20</v>
      </c>
      <c r="D156" s="36">
        <f t="shared" si="58"/>
        <v>20</v>
      </c>
      <c r="E156" s="36">
        <f t="shared" si="58"/>
        <v>20</v>
      </c>
      <c r="F156" s="36">
        <f t="shared" si="58"/>
        <v>60</v>
      </c>
      <c r="G156" s="37">
        <f t="shared" si="58"/>
        <v>160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20</v>
      </c>
      <c r="D161" s="36">
        <f t="shared" ref="D161:G161" si="59">SUM(D148,D160)</f>
        <v>20</v>
      </c>
      <c r="E161" s="36">
        <f t="shared" si="59"/>
        <v>20</v>
      </c>
      <c r="F161" s="36">
        <f t="shared" si="59"/>
        <v>60</v>
      </c>
      <c r="G161" s="37">
        <f t="shared" si="59"/>
        <v>160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梅田!C120</f>
        <v>0</v>
      </c>
      <c r="D166" s="33">
        <f>梅田!E120</f>
        <v>0</v>
      </c>
      <c r="E166" s="33">
        <f>梅田!G120</f>
        <v>0</v>
      </c>
      <c r="F166" s="33">
        <f>梅田!I120</f>
        <v>0</v>
      </c>
      <c r="G166" s="34">
        <f>梅田!K120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20</v>
      </c>
      <c r="D169" s="36">
        <f t="shared" si="64"/>
        <v>20</v>
      </c>
      <c r="E169" s="36">
        <f t="shared" si="64"/>
        <v>20</v>
      </c>
      <c r="F169" s="36">
        <f t="shared" si="64"/>
        <v>60</v>
      </c>
      <c r="G169" s="37">
        <f t="shared" si="64"/>
        <v>160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20</v>
      </c>
      <c r="D174" s="36">
        <f t="shared" ref="D174:G174" si="65">SUM(D161,D173)</f>
        <v>20</v>
      </c>
      <c r="E174" s="36">
        <f t="shared" si="65"/>
        <v>20</v>
      </c>
      <c r="F174" s="36">
        <f t="shared" si="65"/>
        <v>60</v>
      </c>
      <c r="G174" s="37">
        <f t="shared" si="65"/>
        <v>160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梅田!C121</f>
        <v>0</v>
      </c>
      <c r="D179" s="33">
        <f>梅田!E121</f>
        <v>0</v>
      </c>
      <c r="E179" s="33">
        <f>梅田!G121</f>
        <v>0</v>
      </c>
      <c r="F179" s="33">
        <f>梅田!I121</f>
        <v>0</v>
      </c>
      <c r="G179" s="34">
        <f>梅田!K121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20</v>
      </c>
      <c r="D182" s="36">
        <f t="shared" si="70"/>
        <v>20</v>
      </c>
      <c r="E182" s="36">
        <f t="shared" si="70"/>
        <v>20</v>
      </c>
      <c r="F182" s="36">
        <f t="shared" si="70"/>
        <v>60</v>
      </c>
      <c r="G182" s="37">
        <f t="shared" si="70"/>
        <v>160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20</v>
      </c>
      <c r="D187" s="36">
        <f t="shared" ref="D187:G187" si="71">SUM(D174,D186)</f>
        <v>20</v>
      </c>
      <c r="E187" s="36">
        <f t="shared" si="71"/>
        <v>20</v>
      </c>
      <c r="F187" s="36">
        <f t="shared" si="71"/>
        <v>60</v>
      </c>
      <c r="G187" s="37">
        <f t="shared" si="71"/>
        <v>160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梅田!C122</f>
        <v>0</v>
      </c>
      <c r="D192" s="33">
        <f>梅田!E122</f>
        <v>0</v>
      </c>
      <c r="E192" s="33">
        <f>梅田!G122</f>
        <v>0</v>
      </c>
      <c r="F192" s="33">
        <f>梅田!I122</f>
        <v>0</v>
      </c>
      <c r="G192" s="34">
        <f>梅田!K122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20</v>
      </c>
      <c r="D195" s="36">
        <f t="shared" si="76"/>
        <v>20</v>
      </c>
      <c r="E195" s="36">
        <f t="shared" si="76"/>
        <v>20</v>
      </c>
      <c r="F195" s="36">
        <f t="shared" si="76"/>
        <v>60</v>
      </c>
      <c r="G195" s="37">
        <f t="shared" si="76"/>
        <v>160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20</v>
      </c>
      <c r="D200" s="36">
        <f t="shared" ref="D200:G200" si="77">SUM(D187,D199)</f>
        <v>20</v>
      </c>
      <c r="E200" s="36">
        <f t="shared" si="77"/>
        <v>20</v>
      </c>
      <c r="F200" s="36">
        <f t="shared" si="77"/>
        <v>60</v>
      </c>
      <c r="G200" s="37">
        <f t="shared" si="77"/>
        <v>160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梅田!C123</f>
        <v>0</v>
      </c>
      <c r="D205" s="33">
        <f>梅田!E123</f>
        <v>0</v>
      </c>
      <c r="E205" s="33">
        <f>梅田!G123</f>
        <v>0</v>
      </c>
      <c r="F205" s="33">
        <f>梅田!I123</f>
        <v>0</v>
      </c>
      <c r="G205" s="34">
        <f>梅田!K123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20</v>
      </c>
      <c r="D208" s="36">
        <f t="shared" si="82"/>
        <v>20</v>
      </c>
      <c r="E208" s="36">
        <f t="shared" si="82"/>
        <v>20</v>
      </c>
      <c r="F208" s="36">
        <f t="shared" si="82"/>
        <v>60</v>
      </c>
      <c r="G208" s="37">
        <f t="shared" si="82"/>
        <v>160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20</v>
      </c>
      <c r="D213" s="36">
        <f t="shared" si="83"/>
        <v>20</v>
      </c>
      <c r="E213" s="36">
        <f t="shared" si="83"/>
        <v>20</v>
      </c>
      <c r="F213" s="36">
        <f t="shared" si="83"/>
        <v>60</v>
      </c>
      <c r="G213" s="37">
        <f t="shared" si="83"/>
        <v>160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梅田!C124</f>
        <v>0</v>
      </c>
      <c r="D218" s="33">
        <f>梅田!E124</f>
        <v>0</v>
      </c>
      <c r="E218" s="33">
        <f>梅田!G124</f>
        <v>0</v>
      </c>
      <c r="F218" s="33">
        <f>梅田!I124</f>
        <v>0</v>
      </c>
      <c r="G218" s="34">
        <f>梅田!K124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20</v>
      </c>
      <c r="D221" s="36">
        <f t="shared" si="88"/>
        <v>20</v>
      </c>
      <c r="E221" s="36">
        <f t="shared" si="88"/>
        <v>20</v>
      </c>
      <c r="F221" s="36">
        <f t="shared" si="88"/>
        <v>60</v>
      </c>
      <c r="G221" s="37">
        <f t="shared" si="88"/>
        <v>160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20</v>
      </c>
      <c r="D226" s="36">
        <f t="shared" si="89"/>
        <v>20</v>
      </c>
      <c r="E226" s="36">
        <f t="shared" si="89"/>
        <v>20</v>
      </c>
      <c r="F226" s="36">
        <f t="shared" si="89"/>
        <v>60</v>
      </c>
      <c r="G226" s="37">
        <f t="shared" si="89"/>
        <v>160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梅田!C125</f>
        <v>0</v>
      </c>
      <c r="D231" s="33">
        <f>梅田!E125</f>
        <v>0</v>
      </c>
      <c r="E231" s="33">
        <f>梅田!G125</f>
        <v>0</v>
      </c>
      <c r="F231" s="33">
        <f>梅田!I125</f>
        <v>0</v>
      </c>
      <c r="G231" s="34">
        <f>梅田!K125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20</v>
      </c>
      <c r="D234" s="36">
        <f t="shared" si="94"/>
        <v>20</v>
      </c>
      <c r="E234" s="36">
        <f t="shared" si="94"/>
        <v>20</v>
      </c>
      <c r="F234" s="36">
        <f t="shared" si="94"/>
        <v>60</v>
      </c>
      <c r="G234" s="37">
        <f t="shared" si="94"/>
        <v>160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20</v>
      </c>
      <c r="D239" s="36">
        <f t="shared" si="95"/>
        <v>20</v>
      </c>
      <c r="E239" s="36">
        <f t="shared" si="95"/>
        <v>20</v>
      </c>
      <c r="F239" s="36">
        <f t="shared" si="95"/>
        <v>60</v>
      </c>
      <c r="G239" s="37">
        <f t="shared" si="95"/>
        <v>160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梅田!C126</f>
        <v>0</v>
      </c>
      <c r="D244" s="33">
        <f>梅田!E126</f>
        <v>0</v>
      </c>
      <c r="E244" s="33">
        <f>梅田!G126</f>
        <v>0</v>
      </c>
      <c r="F244" s="33">
        <f>梅田!I126</f>
        <v>0</v>
      </c>
      <c r="G244" s="34">
        <f>梅田!K126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20</v>
      </c>
      <c r="D247" s="36">
        <f t="shared" si="100"/>
        <v>20</v>
      </c>
      <c r="E247" s="36">
        <f t="shared" si="100"/>
        <v>20</v>
      </c>
      <c r="F247" s="36">
        <f t="shared" si="100"/>
        <v>60</v>
      </c>
      <c r="G247" s="37">
        <f t="shared" si="100"/>
        <v>160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20</v>
      </c>
      <c r="D252" s="36">
        <f t="shared" si="101"/>
        <v>20</v>
      </c>
      <c r="E252" s="36">
        <f t="shared" si="101"/>
        <v>20</v>
      </c>
      <c r="F252" s="36">
        <f t="shared" si="101"/>
        <v>60</v>
      </c>
      <c r="G252" s="37">
        <f t="shared" si="101"/>
        <v>160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梅田!C127</f>
        <v>0</v>
      </c>
      <c r="D257" s="33">
        <f>梅田!E127</f>
        <v>0</v>
      </c>
      <c r="E257" s="33">
        <f>梅田!G127</f>
        <v>0</v>
      </c>
      <c r="F257" s="33">
        <f>梅田!I127</f>
        <v>0</v>
      </c>
      <c r="G257" s="34">
        <f>梅田!K127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20</v>
      </c>
      <c r="D260" s="36">
        <f t="shared" si="106"/>
        <v>20</v>
      </c>
      <c r="E260" s="36">
        <f t="shared" si="106"/>
        <v>20</v>
      </c>
      <c r="F260" s="36">
        <f t="shared" si="106"/>
        <v>60</v>
      </c>
      <c r="G260" s="37">
        <f t="shared" si="106"/>
        <v>160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20</v>
      </c>
      <c r="D265" s="36">
        <f t="shared" si="107"/>
        <v>20</v>
      </c>
      <c r="E265" s="36">
        <f t="shared" si="107"/>
        <v>20</v>
      </c>
      <c r="F265" s="36">
        <f t="shared" si="107"/>
        <v>60</v>
      </c>
      <c r="G265" s="37">
        <f t="shared" si="107"/>
        <v>160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梅田!C128</f>
        <v>0</v>
      </c>
      <c r="D270" s="33">
        <f>梅田!E128</f>
        <v>0</v>
      </c>
      <c r="E270" s="33">
        <f>梅田!G128</f>
        <v>0</v>
      </c>
      <c r="F270" s="33">
        <f>梅田!I128</f>
        <v>0</v>
      </c>
      <c r="G270" s="34">
        <f>梅田!K128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20</v>
      </c>
      <c r="D273" s="36">
        <f t="shared" si="112"/>
        <v>20</v>
      </c>
      <c r="E273" s="36">
        <f t="shared" si="112"/>
        <v>20</v>
      </c>
      <c r="F273" s="36">
        <f t="shared" si="112"/>
        <v>60</v>
      </c>
      <c r="G273" s="37">
        <f t="shared" si="112"/>
        <v>160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20</v>
      </c>
      <c r="D278" s="36">
        <f t="shared" si="113"/>
        <v>20</v>
      </c>
      <c r="E278" s="36">
        <f t="shared" si="113"/>
        <v>20</v>
      </c>
      <c r="F278" s="36">
        <f t="shared" si="113"/>
        <v>60</v>
      </c>
      <c r="G278" s="37">
        <f t="shared" si="113"/>
        <v>160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梅田!C129</f>
        <v>0</v>
      </c>
      <c r="D283" s="33">
        <f>梅田!E129</f>
        <v>0</v>
      </c>
      <c r="E283" s="33">
        <f>梅田!G129</f>
        <v>0</v>
      </c>
      <c r="F283" s="33">
        <f>梅田!I129</f>
        <v>0</v>
      </c>
      <c r="G283" s="34">
        <f>梅田!K129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20</v>
      </c>
      <c r="D286" s="36">
        <f t="shared" si="118"/>
        <v>20</v>
      </c>
      <c r="E286" s="36">
        <f t="shared" si="118"/>
        <v>20</v>
      </c>
      <c r="F286" s="36">
        <f t="shared" si="118"/>
        <v>60</v>
      </c>
      <c r="G286" s="37">
        <f t="shared" si="118"/>
        <v>160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20</v>
      </c>
      <c r="D291" s="36">
        <f t="shared" si="119"/>
        <v>20</v>
      </c>
      <c r="E291" s="36">
        <f t="shared" si="119"/>
        <v>20</v>
      </c>
      <c r="F291" s="36">
        <f t="shared" si="119"/>
        <v>60</v>
      </c>
      <c r="G291" s="37">
        <f t="shared" si="119"/>
        <v>160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梅田!C130</f>
        <v>0</v>
      </c>
      <c r="D296" s="33">
        <f>梅田!E130</f>
        <v>0</v>
      </c>
      <c r="E296" s="33">
        <f>梅田!G130</f>
        <v>0</v>
      </c>
      <c r="F296" s="33">
        <f>梅田!I130</f>
        <v>0</v>
      </c>
      <c r="G296" s="34">
        <f>梅田!K130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20</v>
      </c>
      <c r="D299" s="36">
        <f t="shared" si="124"/>
        <v>20</v>
      </c>
      <c r="E299" s="36">
        <f t="shared" si="124"/>
        <v>20</v>
      </c>
      <c r="F299" s="36">
        <f t="shared" si="124"/>
        <v>60</v>
      </c>
      <c r="G299" s="37">
        <f t="shared" si="124"/>
        <v>160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20</v>
      </c>
      <c r="D304" s="36">
        <f t="shared" si="125"/>
        <v>20</v>
      </c>
      <c r="E304" s="36">
        <f t="shared" si="125"/>
        <v>20</v>
      </c>
      <c r="F304" s="36">
        <f t="shared" si="125"/>
        <v>60</v>
      </c>
      <c r="G304" s="37">
        <f t="shared" si="125"/>
        <v>160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梅田!C131</f>
        <v>0</v>
      </c>
      <c r="D309" s="33">
        <f>梅田!E131</f>
        <v>0</v>
      </c>
      <c r="E309" s="33">
        <f>梅田!G131</f>
        <v>0</v>
      </c>
      <c r="F309" s="33">
        <f>梅田!I131</f>
        <v>0</v>
      </c>
      <c r="G309" s="34">
        <f>梅田!K131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20</v>
      </c>
      <c r="D312" s="36">
        <f t="shared" si="130"/>
        <v>20</v>
      </c>
      <c r="E312" s="36">
        <f t="shared" si="130"/>
        <v>20</v>
      </c>
      <c r="F312" s="36">
        <f t="shared" si="130"/>
        <v>60</v>
      </c>
      <c r="G312" s="37">
        <f t="shared" si="130"/>
        <v>160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20</v>
      </c>
      <c r="D317" s="36">
        <f t="shared" si="131"/>
        <v>20</v>
      </c>
      <c r="E317" s="36">
        <f t="shared" si="131"/>
        <v>20</v>
      </c>
      <c r="F317" s="36">
        <f t="shared" si="131"/>
        <v>60</v>
      </c>
      <c r="G317" s="37">
        <f t="shared" si="131"/>
        <v>160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梅田!C132</f>
        <v>0</v>
      </c>
      <c r="D322" s="33">
        <f>梅田!E132</f>
        <v>0</v>
      </c>
      <c r="E322" s="33">
        <f>梅田!G132</f>
        <v>0</v>
      </c>
      <c r="F322" s="33">
        <f>梅田!I132</f>
        <v>0</v>
      </c>
      <c r="G322" s="34">
        <f>梅田!K132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20</v>
      </c>
      <c r="D325" s="36">
        <f t="shared" si="136"/>
        <v>20</v>
      </c>
      <c r="E325" s="36">
        <f t="shared" si="136"/>
        <v>20</v>
      </c>
      <c r="F325" s="36">
        <f t="shared" si="136"/>
        <v>60</v>
      </c>
      <c r="G325" s="37">
        <f t="shared" si="136"/>
        <v>160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20</v>
      </c>
      <c r="D330" s="36">
        <f t="shared" si="137"/>
        <v>20</v>
      </c>
      <c r="E330" s="36">
        <f t="shared" si="137"/>
        <v>20</v>
      </c>
      <c r="F330" s="36">
        <f t="shared" si="137"/>
        <v>60</v>
      </c>
      <c r="G330" s="37">
        <f t="shared" si="137"/>
        <v>160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梅田!C133</f>
        <v>0</v>
      </c>
      <c r="D335" s="33">
        <f>梅田!E133</f>
        <v>0</v>
      </c>
      <c r="E335" s="33">
        <f>梅田!G133</f>
        <v>0</v>
      </c>
      <c r="F335" s="33">
        <f>梅田!I133</f>
        <v>0</v>
      </c>
      <c r="G335" s="34">
        <f>梅田!K133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20</v>
      </c>
      <c r="D338" s="36">
        <f t="shared" si="142"/>
        <v>20</v>
      </c>
      <c r="E338" s="36">
        <f t="shared" si="142"/>
        <v>20</v>
      </c>
      <c r="F338" s="36">
        <f t="shared" si="142"/>
        <v>60</v>
      </c>
      <c r="G338" s="37">
        <f t="shared" si="142"/>
        <v>160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20</v>
      </c>
      <c r="D343" s="36">
        <f t="shared" si="143"/>
        <v>20</v>
      </c>
      <c r="E343" s="36">
        <f t="shared" si="143"/>
        <v>20</v>
      </c>
      <c r="F343" s="36">
        <f t="shared" si="143"/>
        <v>60</v>
      </c>
      <c r="G343" s="37">
        <f t="shared" si="143"/>
        <v>160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梅田!C134</f>
        <v>0</v>
      </c>
      <c r="D348" s="33">
        <f>梅田!E134</f>
        <v>0</v>
      </c>
      <c r="E348" s="33">
        <f>梅田!G134</f>
        <v>0</v>
      </c>
      <c r="F348" s="33">
        <f>梅田!I134</f>
        <v>0</v>
      </c>
      <c r="G348" s="34">
        <f>梅田!K134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20</v>
      </c>
      <c r="D351" s="36">
        <f t="shared" si="148"/>
        <v>20</v>
      </c>
      <c r="E351" s="36">
        <f t="shared" si="148"/>
        <v>20</v>
      </c>
      <c r="F351" s="36">
        <f t="shared" si="148"/>
        <v>60</v>
      </c>
      <c r="G351" s="37">
        <f t="shared" si="148"/>
        <v>160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20</v>
      </c>
      <c r="D356" s="36">
        <f t="shared" si="149"/>
        <v>20</v>
      </c>
      <c r="E356" s="36">
        <f t="shared" si="149"/>
        <v>20</v>
      </c>
      <c r="F356" s="36">
        <f t="shared" si="149"/>
        <v>60</v>
      </c>
      <c r="G356" s="37">
        <f t="shared" si="149"/>
        <v>160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梅田!C135</f>
        <v>0</v>
      </c>
      <c r="D361" s="33">
        <f>梅田!E135</f>
        <v>0</v>
      </c>
      <c r="E361" s="33">
        <f>梅田!G135</f>
        <v>0</v>
      </c>
      <c r="F361" s="33">
        <f>梅田!I135</f>
        <v>0</v>
      </c>
      <c r="G361" s="34">
        <f>梅田!K135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20</v>
      </c>
      <c r="D364" s="36">
        <f t="shared" si="154"/>
        <v>20</v>
      </c>
      <c r="E364" s="36">
        <f t="shared" si="154"/>
        <v>20</v>
      </c>
      <c r="F364" s="36">
        <f t="shared" si="154"/>
        <v>60</v>
      </c>
      <c r="G364" s="37">
        <f t="shared" si="154"/>
        <v>160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20</v>
      </c>
      <c r="D369" s="36">
        <f t="shared" si="155"/>
        <v>20</v>
      </c>
      <c r="E369" s="36">
        <f t="shared" si="155"/>
        <v>20</v>
      </c>
      <c r="F369" s="36">
        <f t="shared" si="155"/>
        <v>60</v>
      </c>
      <c r="G369" s="37">
        <f t="shared" si="155"/>
        <v>160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梅田!C136</f>
        <v>0</v>
      </c>
      <c r="D374" s="33">
        <f>梅田!E136</f>
        <v>0</v>
      </c>
      <c r="E374" s="33">
        <f>梅田!G136</f>
        <v>0</v>
      </c>
      <c r="F374" s="33">
        <f>梅田!I136</f>
        <v>0</v>
      </c>
      <c r="G374" s="34">
        <f>梅田!K136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20</v>
      </c>
      <c r="D377" s="36">
        <f t="shared" si="160"/>
        <v>20</v>
      </c>
      <c r="E377" s="36">
        <f t="shared" si="160"/>
        <v>20</v>
      </c>
      <c r="F377" s="36">
        <f t="shared" si="160"/>
        <v>60</v>
      </c>
      <c r="G377" s="37">
        <f t="shared" si="160"/>
        <v>160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20</v>
      </c>
      <c r="D382" s="36">
        <f t="shared" si="161"/>
        <v>20</v>
      </c>
      <c r="E382" s="36">
        <f t="shared" si="161"/>
        <v>20</v>
      </c>
      <c r="F382" s="36">
        <f t="shared" si="161"/>
        <v>60</v>
      </c>
      <c r="G382" s="37">
        <f t="shared" si="161"/>
        <v>160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梅田!C137</f>
        <v>0</v>
      </c>
      <c r="D387" s="33">
        <f>梅田!E137</f>
        <v>0</v>
      </c>
      <c r="E387" s="33">
        <f>梅田!G137</f>
        <v>0</v>
      </c>
      <c r="F387" s="33">
        <f>梅田!I137</f>
        <v>0</v>
      </c>
      <c r="G387" s="34">
        <f>梅田!K137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20</v>
      </c>
      <c r="D390" s="36">
        <f t="shared" si="166"/>
        <v>20</v>
      </c>
      <c r="E390" s="36">
        <f t="shared" si="166"/>
        <v>20</v>
      </c>
      <c r="F390" s="36">
        <f t="shared" si="166"/>
        <v>60</v>
      </c>
      <c r="G390" s="37">
        <f t="shared" si="166"/>
        <v>160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20</v>
      </c>
      <c r="D395" s="36">
        <f t="shared" si="167"/>
        <v>20</v>
      </c>
      <c r="E395" s="36">
        <f t="shared" si="167"/>
        <v>20</v>
      </c>
      <c r="F395" s="36">
        <f t="shared" si="167"/>
        <v>60</v>
      </c>
      <c r="G395" s="37">
        <f t="shared" si="167"/>
        <v>160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梅田!C138</f>
        <v>0</v>
      </c>
      <c r="D400" s="33">
        <f>梅田!E138</f>
        <v>0</v>
      </c>
      <c r="E400" s="33">
        <f>梅田!G138</f>
        <v>0</v>
      </c>
      <c r="F400" s="33">
        <f>梅田!I138</f>
        <v>0</v>
      </c>
      <c r="G400" s="34">
        <f>梅田!K138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20</v>
      </c>
      <c r="D403" s="36">
        <f t="shared" si="172"/>
        <v>20</v>
      </c>
      <c r="E403" s="36">
        <f t="shared" si="172"/>
        <v>20</v>
      </c>
      <c r="F403" s="36">
        <f t="shared" si="172"/>
        <v>60</v>
      </c>
      <c r="G403" s="37">
        <f t="shared" si="172"/>
        <v>160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2021-04-26T07:38:22Z</dcterms:modified>
</cp:coreProperties>
</file>