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2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drawings/drawing3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drawings/drawing4.xml" ContentType="application/vnd.openxmlformats-officedocument.drawing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富士太郎\Desktop\Excel2016マクロVBA\"/>
    </mc:Choice>
  </mc:AlternateContent>
  <bookViews>
    <workbookView xWindow="0" yWindow="0" windowWidth="15360" windowHeight="7530"/>
  </bookViews>
  <sheets>
    <sheet name="メイン" sheetId="1" r:id="rId1"/>
    <sheet name="商品リスト" sheetId="4" r:id="rId2"/>
    <sheet name="得意先リスト" sheetId="3" r:id="rId3"/>
    <sheet name="9月度" sheetId="2" r:id="rId4"/>
  </sheets>
  <definedNames>
    <definedName name="_xlnm._FilterDatabase" localSheetId="1" hidden="1">商品リスト!$B$5:$G$24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I6" i="2" l="1"/>
  <c r="I7" i="2"/>
  <c r="I8" i="2"/>
  <c r="I9" i="2"/>
  <c r="I10" i="2"/>
  <c r="I11" i="2"/>
  <c r="I12" i="2"/>
  <c r="I13" i="2"/>
  <c r="I14" i="2"/>
  <c r="I5" i="2"/>
  <c r="H6" i="2"/>
  <c r="H7" i="2"/>
  <c r="H8" i="2"/>
  <c r="H9" i="2"/>
  <c r="H10" i="2"/>
  <c r="H11" i="2"/>
  <c r="H12" i="2"/>
  <c r="H13" i="2"/>
  <c r="H14" i="2"/>
  <c r="H5" i="2"/>
  <c r="G6" i="2"/>
  <c r="G7" i="2"/>
  <c r="G8" i="2"/>
  <c r="G9" i="2"/>
  <c r="G10" i="2"/>
  <c r="G11" i="2"/>
  <c r="G12" i="2"/>
  <c r="G13" i="2"/>
  <c r="G14" i="2"/>
  <c r="G5" i="2"/>
  <c r="E6" i="2"/>
  <c r="E7" i="2"/>
  <c r="E8" i="2"/>
  <c r="E9" i="2"/>
  <c r="E10" i="2"/>
  <c r="E11" i="2"/>
  <c r="E12" i="2"/>
  <c r="E13" i="2"/>
  <c r="E14" i="2"/>
  <c r="E5" i="2"/>
  <c r="B6" i="2" l="1"/>
  <c r="D23" i="3" l="1"/>
  <c r="D21" i="3"/>
  <c r="D19" i="3"/>
  <c r="D17" i="3"/>
  <c r="D15" i="3"/>
  <c r="D13" i="3"/>
  <c r="D11" i="3"/>
  <c r="D9" i="3"/>
  <c r="D7" i="3"/>
  <c r="D22" i="3"/>
  <c r="D20" i="3"/>
  <c r="D18" i="3"/>
  <c r="D16" i="3"/>
  <c r="D14" i="3"/>
  <c r="D12" i="3"/>
  <c r="D10" i="3"/>
  <c r="D8" i="3"/>
  <c r="D6" i="3"/>
</calcChain>
</file>

<file path=xl/sharedStrings.xml><?xml version="1.0" encoding="utf-8"?>
<sst xmlns="http://schemas.openxmlformats.org/spreadsheetml/2006/main" count="177" uniqueCount="139">
  <si>
    <t>郵便番号</t>
    <rPh sb="0" eb="4">
      <t>ユウビンバンゴウ</t>
    </rPh>
    <phoneticPr fontId="3"/>
  </si>
  <si>
    <t>商品リスト</t>
    <rPh sb="0" eb="2">
      <t>ショウヒン</t>
    </rPh>
    <phoneticPr fontId="3"/>
  </si>
  <si>
    <t>商品コード</t>
    <rPh sb="0" eb="2">
      <t>ショウヒン</t>
    </rPh>
    <phoneticPr fontId="3"/>
  </si>
  <si>
    <t>商品名</t>
    <rPh sb="0" eb="3">
      <t>ショウヒンメイ</t>
    </rPh>
    <phoneticPr fontId="3"/>
  </si>
  <si>
    <t>色</t>
    <rPh sb="0" eb="1">
      <t>イロ</t>
    </rPh>
    <phoneticPr fontId="3"/>
  </si>
  <si>
    <t>単価</t>
    <rPh sb="0" eb="2">
      <t>タンカ</t>
    </rPh>
    <phoneticPr fontId="3"/>
  </si>
  <si>
    <t>輸入国</t>
    <rPh sb="0" eb="2">
      <t>ユニュウ</t>
    </rPh>
    <rPh sb="2" eb="3">
      <t>コク</t>
    </rPh>
    <phoneticPr fontId="3"/>
  </si>
  <si>
    <t>入荷状況</t>
    <rPh sb="0" eb="2">
      <t>ニュウカ</t>
    </rPh>
    <rPh sb="2" eb="4">
      <t>ジョウキョウ</t>
    </rPh>
    <phoneticPr fontId="3"/>
  </si>
  <si>
    <t>R101</t>
    <phoneticPr fontId="3"/>
  </si>
  <si>
    <t>アマローネ　クラシッコ</t>
    <phoneticPr fontId="3"/>
  </si>
  <si>
    <t>赤</t>
    <rPh sb="0" eb="1">
      <t>アカ</t>
    </rPh>
    <phoneticPr fontId="3"/>
  </si>
  <si>
    <t>イタリア</t>
    <phoneticPr fontId="3"/>
  </si>
  <si>
    <t>R102</t>
    <phoneticPr fontId="3"/>
  </si>
  <si>
    <t>バルール</t>
    <phoneticPr fontId="3"/>
  </si>
  <si>
    <t>イタリア</t>
    <phoneticPr fontId="3"/>
  </si>
  <si>
    <t>R103</t>
    <phoneticPr fontId="3"/>
  </si>
  <si>
    <t>キャンティ　クラシカル</t>
    <phoneticPr fontId="3"/>
  </si>
  <si>
    <t>R104</t>
    <phoneticPr fontId="3"/>
  </si>
  <si>
    <t>バルバルスコ</t>
    <phoneticPr fontId="3"/>
  </si>
  <si>
    <t>未入荷</t>
    <rPh sb="0" eb="1">
      <t>ミ</t>
    </rPh>
    <rPh sb="1" eb="3">
      <t>ニュウカ</t>
    </rPh>
    <phoneticPr fontId="3"/>
  </si>
  <si>
    <t>R105</t>
    <phoneticPr fontId="3"/>
  </si>
  <si>
    <t>ヴァルボリチラ　クラシコ</t>
    <phoneticPr fontId="3"/>
  </si>
  <si>
    <t>W101</t>
    <phoneticPr fontId="3"/>
  </si>
  <si>
    <t>ガベガベ</t>
    <phoneticPr fontId="3"/>
  </si>
  <si>
    <t>白</t>
    <rPh sb="0" eb="1">
      <t>シロ</t>
    </rPh>
    <phoneticPr fontId="3"/>
  </si>
  <si>
    <t>W102</t>
    <phoneticPr fontId="3"/>
  </si>
  <si>
    <t>オリブエート　クラシッコ</t>
    <phoneticPr fontId="3"/>
  </si>
  <si>
    <t>W103</t>
    <phoneticPr fontId="3"/>
  </si>
  <si>
    <t>スアーヴェ　クラシコ</t>
    <phoneticPr fontId="3"/>
  </si>
  <si>
    <t>イタリア</t>
    <phoneticPr fontId="3"/>
  </si>
  <si>
    <t>W104</t>
    <phoneticPr fontId="3"/>
  </si>
  <si>
    <t>シャルドネ　スチリア</t>
    <phoneticPr fontId="3"/>
  </si>
  <si>
    <t>R201</t>
    <phoneticPr fontId="3"/>
  </si>
  <si>
    <t>ルージュ　ドゥ　シャトー　マルゴー</t>
    <phoneticPr fontId="3"/>
  </si>
  <si>
    <t>フランス</t>
    <phoneticPr fontId="3"/>
  </si>
  <si>
    <t>R202</t>
    <phoneticPr fontId="3"/>
  </si>
  <si>
    <t>ボージョレ　ブラージュ</t>
    <phoneticPr fontId="3"/>
  </si>
  <si>
    <t>フランス</t>
    <phoneticPr fontId="3"/>
  </si>
  <si>
    <t>R203</t>
    <phoneticPr fontId="3"/>
  </si>
  <si>
    <t>カベルネ　スービニヨン</t>
    <phoneticPr fontId="3"/>
  </si>
  <si>
    <t>フランス</t>
    <phoneticPr fontId="3"/>
  </si>
  <si>
    <t>R204</t>
    <phoneticPr fontId="3"/>
  </si>
  <si>
    <t>メルロ　ヴァン　ドゥ　ペイ　ヨック</t>
    <phoneticPr fontId="3"/>
  </si>
  <si>
    <t>R205</t>
    <phoneticPr fontId="3"/>
  </si>
  <si>
    <t>コトー　ドゥ　ランドヨーク</t>
    <phoneticPr fontId="3"/>
  </si>
  <si>
    <t>W201</t>
    <phoneticPr fontId="3"/>
  </si>
  <si>
    <t>ブルゴーニャ　シャルドネ</t>
    <phoneticPr fontId="3"/>
  </si>
  <si>
    <t>フランス</t>
    <phoneticPr fontId="3"/>
  </si>
  <si>
    <t>W202</t>
    <phoneticPr fontId="3"/>
  </si>
  <si>
    <t>メコン　ヴィラージュ</t>
    <phoneticPr fontId="3"/>
  </si>
  <si>
    <t>フランス</t>
    <phoneticPr fontId="3"/>
  </si>
  <si>
    <t>W203</t>
    <phoneticPr fontId="3"/>
  </si>
  <si>
    <t>コートド　ローヌ</t>
    <phoneticPr fontId="3"/>
  </si>
  <si>
    <t>W204</t>
    <phoneticPr fontId="3"/>
  </si>
  <si>
    <t>タヴェル　ロゼ</t>
    <phoneticPr fontId="3"/>
  </si>
  <si>
    <t>ロゼ</t>
    <phoneticPr fontId="3"/>
  </si>
  <si>
    <t>W205</t>
    <phoneticPr fontId="3"/>
  </si>
  <si>
    <t>コトープロヴァンス　ロゼ</t>
    <phoneticPr fontId="3"/>
  </si>
  <si>
    <t>ロゼ</t>
    <phoneticPr fontId="3"/>
  </si>
  <si>
    <t>得意先リスト</t>
    <rPh sb="0" eb="3">
      <t>トクイサキ</t>
    </rPh>
    <phoneticPr fontId="3"/>
  </si>
  <si>
    <t>得意先コード</t>
    <rPh sb="0" eb="3">
      <t>トクイサキ</t>
    </rPh>
    <phoneticPr fontId="3"/>
  </si>
  <si>
    <t>得意先名</t>
    <rPh sb="0" eb="3">
      <t>トクイサキ</t>
    </rPh>
    <rPh sb="3" eb="4">
      <t>メイ</t>
    </rPh>
    <phoneticPr fontId="3"/>
  </si>
  <si>
    <t>フリガナ</t>
    <phoneticPr fontId="3"/>
  </si>
  <si>
    <t>住所</t>
    <rPh sb="0" eb="2">
      <t>ジュウショ</t>
    </rPh>
    <phoneticPr fontId="3"/>
  </si>
  <si>
    <t>TEL</t>
    <phoneticPr fontId="3"/>
  </si>
  <si>
    <t>たかむらデパート</t>
    <phoneticPr fontId="3"/>
  </si>
  <si>
    <t>150-0041</t>
    <phoneticPr fontId="3"/>
  </si>
  <si>
    <t>東京都渋谷区神南X-X-X</t>
    <rPh sb="0" eb="3">
      <t>トウキョウト</t>
    </rPh>
    <rPh sb="3" eb="6">
      <t>シブヤク</t>
    </rPh>
    <rPh sb="6" eb="8">
      <t>ジンナン</t>
    </rPh>
    <phoneticPr fontId="3"/>
  </si>
  <si>
    <t>03-3465-XXXX</t>
    <phoneticPr fontId="3"/>
  </si>
  <si>
    <t>スターマーケット</t>
    <phoneticPr fontId="3"/>
  </si>
  <si>
    <t>101-0021</t>
    <phoneticPr fontId="3"/>
  </si>
  <si>
    <t>東京都千代田区外神田X-X-X</t>
    <rPh sb="0" eb="3">
      <t>トウキョウト</t>
    </rPh>
    <rPh sb="3" eb="7">
      <t>チヨダク</t>
    </rPh>
    <rPh sb="7" eb="10">
      <t>ソトカンダ</t>
    </rPh>
    <phoneticPr fontId="3"/>
  </si>
  <si>
    <t>03-3581-XXXX</t>
    <phoneticPr fontId="3"/>
  </si>
  <si>
    <t>中原商店</t>
    <rPh sb="0" eb="2">
      <t>ナカハラ</t>
    </rPh>
    <rPh sb="2" eb="4">
      <t>ショウテン</t>
    </rPh>
    <phoneticPr fontId="3"/>
  </si>
  <si>
    <t>150-0031</t>
    <phoneticPr fontId="3"/>
  </si>
  <si>
    <t>東京都渋谷区桜丘町X-X-X</t>
    <rPh sb="0" eb="3">
      <t>トウキョウト</t>
    </rPh>
    <rPh sb="3" eb="6">
      <t>シブヤク</t>
    </rPh>
    <rPh sb="6" eb="9">
      <t>サクラガオカチョウ</t>
    </rPh>
    <phoneticPr fontId="3"/>
  </si>
  <si>
    <t>03-5458-XXXX</t>
    <phoneticPr fontId="3"/>
  </si>
  <si>
    <t>ワインショップ</t>
    <phoneticPr fontId="3"/>
  </si>
  <si>
    <t>162-0835</t>
    <phoneticPr fontId="3"/>
  </si>
  <si>
    <t>東京都新宿区中町X-X-X</t>
    <rPh sb="0" eb="3">
      <t>トウキョウト</t>
    </rPh>
    <rPh sb="3" eb="6">
      <t>シンジュクク</t>
    </rPh>
    <rPh sb="6" eb="8">
      <t>ナカマチ</t>
    </rPh>
    <phoneticPr fontId="3"/>
  </si>
  <si>
    <t>03-3267-XXXX</t>
    <phoneticPr fontId="3"/>
  </si>
  <si>
    <t>大田商店</t>
    <rPh sb="0" eb="2">
      <t>オオタ</t>
    </rPh>
    <rPh sb="2" eb="4">
      <t>ショウテン</t>
    </rPh>
    <phoneticPr fontId="3"/>
  </si>
  <si>
    <t>105-0022</t>
    <phoneticPr fontId="3"/>
  </si>
  <si>
    <t>東京都港区海岸X-X-X</t>
    <rPh sb="0" eb="3">
      <t>トウキョウト</t>
    </rPh>
    <rPh sb="3" eb="5">
      <t>ミナトク</t>
    </rPh>
    <rPh sb="5" eb="7">
      <t>カイガン</t>
    </rPh>
    <phoneticPr fontId="3"/>
  </si>
  <si>
    <t>03-5401-XXXX</t>
    <phoneticPr fontId="3"/>
  </si>
  <si>
    <t>北丸デパート</t>
    <rPh sb="0" eb="1">
      <t>キタ</t>
    </rPh>
    <rPh sb="1" eb="2">
      <t>マル</t>
    </rPh>
    <phoneticPr fontId="3"/>
  </si>
  <si>
    <t>104-0061</t>
    <phoneticPr fontId="3"/>
  </si>
  <si>
    <t>東京都中央区銀座X-X-X</t>
    <rPh sb="0" eb="3">
      <t>トウキョウト</t>
    </rPh>
    <rPh sb="3" eb="6">
      <t>チュウオウク</t>
    </rPh>
    <rPh sb="6" eb="8">
      <t>ギンザ</t>
    </rPh>
    <phoneticPr fontId="3"/>
  </si>
  <si>
    <t>03-3562-XXXX</t>
    <phoneticPr fontId="3"/>
  </si>
  <si>
    <t>ヘルシーストアー</t>
    <phoneticPr fontId="3"/>
  </si>
  <si>
    <t>102-0072</t>
    <phoneticPr fontId="3"/>
  </si>
  <si>
    <t>東京都千代田区飯田橋X-X-X</t>
    <rPh sb="0" eb="3">
      <t>トウキョウト</t>
    </rPh>
    <rPh sb="3" eb="7">
      <t>チヨダク</t>
    </rPh>
    <rPh sb="7" eb="10">
      <t>イイダバシ</t>
    </rPh>
    <phoneticPr fontId="3"/>
  </si>
  <si>
    <t>03-3261-XXXX</t>
    <phoneticPr fontId="3"/>
  </si>
  <si>
    <t>ワイン マーケット</t>
    <phoneticPr fontId="3"/>
  </si>
  <si>
    <t>104-0045</t>
    <phoneticPr fontId="3"/>
  </si>
  <si>
    <t>東京都中央区築地X-X-X</t>
    <rPh sb="0" eb="3">
      <t>トウキョウト</t>
    </rPh>
    <rPh sb="3" eb="6">
      <t>チュウオウク</t>
    </rPh>
    <rPh sb="6" eb="8">
      <t>ツキジ</t>
    </rPh>
    <phoneticPr fontId="3"/>
  </si>
  <si>
    <t>03-3543-XXXX</t>
    <phoneticPr fontId="3"/>
  </si>
  <si>
    <t>スーパー大原</t>
    <rPh sb="4" eb="5">
      <t>ダイ</t>
    </rPh>
    <rPh sb="5" eb="6">
      <t>ハラ</t>
    </rPh>
    <phoneticPr fontId="3"/>
  </si>
  <si>
    <t>151-0053</t>
    <phoneticPr fontId="3"/>
  </si>
  <si>
    <t>東京都渋谷区代々木X-X-X</t>
    <rPh sb="0" eb="3">
      <t>トウキョウト</t>
    </rPh>
    <rPh sb="3" eb="6">
      <t>シブヤク</t>
    </rPh>
    <rPh sb="6" eb="9">
      <t>ヨヨギ</t>
    </rPh>
    <phoneticPr fontId="3"/>
  </si>
  <si>
    <t>03-3376-XXXX</t>
    <phoneticPr fontId="3"/>
  </si>
  <si>
    <t>スーパー八巻</t>
    <rPh sb="4" eb="6">
      <t>ハチカン</t>
    </rPh>
    <phoneticPr fontId="3"/>
  </si>
  <si>
    <t>162-0061</t>
    <phoneticPr fontId="3"/>
  </si>
  <si>
    <t>東京都新宿区市谷柳町X-X-X</t>
    <rPh sb="0" eb="3">
      <t>トウキョウト</t>
    </rPh>
    <rPh sb="3" eb="6">
      <t>シンジュクク</t>
    </rPh>
    <rPh sb="6" eb="10">
      <t>イチガヤヤナギチョウ</t>
    </rPh>
    <phoneticPr fontId="3"/>
  </si>
  <si>
    <t>03-5367-XXXX</t>
    <phoneticPr fontId="3"/>
  </si>
  <si>
    <t>白山デパート</t>
    <rPh sb="0" eb="2">
      <t>シラヤマ</t>
    </rPh>
    <phoneticPr fontId="3"/>
  </si>
  <si>
    <t>106-0041</t>
    <phoneticPr fontId="3"/>
  </si>
  <si>
    <t>東京都港区麻布台X-X-X　</t>
    <rPh sb="0" eb="3">
      <t>トウキョウト</t>
    </rPh>
    <rPh sb="3" eb="5">
      <t>ミナトク</t>
    </rPh>
    <rPh sb="5" eb="8">
      <t>アザブダイ</t>
    </rPh>
    <phoneticPr fontId="3"/>
  </si>
  <si>
    <t>03-3585-XXXX</t>
    <phoneticPr fontId="3"/>
  </si>
  <si>
    <t>藤山デパート</t>
    <rPh sb="0" eb="2">
      <t>フジヤマ</t>
    </rPh>
    <phoneticPr fontId="3"/>
  </si>
  <si>
    <t>151-0051</t>
    <phoneticPr fontId="3"/>
  </si>
  <si>
    <t>東京都渋谷区千駄ヶ谷X-X-X</t>
    <rPh sb="0" eb="3">
      <t>トウキョウト</t>
    </rPh>
    <rPh sb="3" eb="6">
      <t>シブヤク</t>
    </rPh>
    <rPh sb="6" eb="10">
      <t>センダガヤ</t>
    </rPh>
    <phoneticPr fontId="3"/>
  </si>
  <si>
    <t>03-5361-XXXX</t>
    <phoneticPr fontId="3"/>
  </si>
  <si>
    <t>鈴木商店</t>
    <rPh sb="0" eb="2">
      <t>スズキ</t>
    </rPh>
    <rPh sb="2" eb="4">
      <t>ショウテン</t>
    </rPh>
    <phoneticPr fontId="3"/>
  </si>
  <si>
    <t>160-0023</t>
    <phoneticPr fontId="3"/>
  </si>
  <si>
    <t>東京都新宿区西新宿X-X-X</t>
    <rPh sb="0" eb="3">
      <t>トウキョウト</t>
    </rPh>
    <rPh sb="3" eb="6">
      <t>シンジュクク</t>
    </rPh>
    <rPh sb="6" eb="9">
      <t>ニシシンジュク</t>
    </rPh>
    <phoneticPr fontId="3"/>
  </si>
  <si>
    <t>03-3369-XXXX</t>
    <phoneticPr fontId="3"/>
  </si>
  <si>
    <t>森河商店</t>
    <rPh sb="0" eb="1">
      <t>モリ</t>
    </rPh>
    <rPh sb="1" eb="2">
      <t>カワ</t>
    </rPh>
    <rPh sb="2" eb="4">
      <t>ショウテン</t>
    </rPh>
    <phoneticPr fontId="3"/>
  </si>
  <si>
    <t>103-0027</t>
    <phoneticPr fontId="3"/>
  </si>
  <si>
    <t>東京都中央区日本橋X-X-X</t>
    <rPh sb="0" eb="3">
      <t>トウキョウト</t>
    </rPh>
    <rPh sb="3" eb="6">
      <t>チュウオウク</t>
    </rPh>
    <rPh sb="6" eb="9">
      <t>ニホンバシ</t>
    </rPh>
    <phoneticPr fontId="3"/>
  </si>
  <si>
    <t>03-3211-XXXX</t>
    <phoneticPr fontId="3"/>
  </si>
  <si>
    <t>スーパー上原</t>
    <rPh sb="4" eb="6">
      <t>ウエハラ</t>
    </rPh>
    <phoneticPr fontId="3"/>
  </si>
  <si>
    <t>105-0021</t>
    <phoneticPr fontId="3"/>
  </si>
  <si>
    <t>東京都港区東新橋X-X-X</t>
    <rPh sb="0" eb="3">
      <t>トウキョウト</t>
    </rPh>
    <rPh sb="3" eb="5">
      <t>ミナトク</t>
    </rPh>
    <rPh sb="5" eb="8">
      <t>ヒガシシンバシ</t>
    </rPh>
    <phoneticPr fontId="3"/>
  </si>
  <si>
    <t>03-5537-XXXX</t>
    <phoneticPr fontId="3"/>
  </si>
  <si>
    <t>島原商店</t>
    <rPh sb="0" eb="2">
      <t>シマバラ</t>
    </rPh>
    <rPh sb="2" eb="4">
      <t>ショウテン</t>
    </rPh>
    <phoneticPr fontId="3"/>
  </si>
  <si>
    <t>101-0021</t>
    <phoneticPr fontId="3"/>
  </si>
  <si>
    <t>03-3581-XXXX</t>
    <phoneticPr fontId="3"/>
  </si>
  <si>
    <t>キタガワマーケット</t>
    <phoneticPr fontId="3"/>
  </si>
  <si>
    <t>104-0061</t>
    <phoneticPr fontId="3"/>
  </si>
  <si>
    <t>03-3562-XXXX</t>
    <phoneticPr fontId="3"/>
  </si>
  <si>
    <t>田村商店</t>
    <rPh sb="0" eb="2">
      <t>タムラ</t>
    </rPh>
    <rPh sb="2" eb="4">
      <t>ショウテン</t>
    </rPh>
    <phoneticPr fontId="3"/>
  </si>
  <si>
    <t>101-0021</t>
    <phoneticPr fontId="3"/>
  </si>
  <si>
    <t>03-3253-XXXX</t>
    <phoneticPr fontId="3"/>
  </si>
  <si>
    <t>販売一覧</t>
    <rPh sb="0" eb="2">
      <t>ハンバイ</t>
    </rPh>
    <rPh sb="2" eb="4">
      <t>イチラン</t>
    </rPh>
    <phoneticPr fontId="3"/>
  </si>
  <si>
    <t>No.</t>
    <phoneticPr fontId="3"/>
  </si>
  <si>
    <t>日付</t>
    <rPh sb="0" eb="2">
      <t>ヒヅケ</t>
    </rPh>
    <phoneticPr fontId="3"/>
  </si>
  <si>
    <t>数量</t>
    <rPh sb="0" eb="2">
      <t>スウリョウ</t>
    </rPh>
    <phoneticPr fontId="3"/>
  </si>
  <si>
    <t>税込金額</t>
    <rPh sb="0" eb="2">
      <t>ゼイコミ</t>
    </rPh>
    <rPh sb="2" eb="4">
      <t>キンガク</t>
    </rPh>
    <phoneticPr fontId="3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</si>
</sst>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6" formatCode="&quot;¥&quot;#,##0;[Red]&quot;¥&quot;\-#,##0"/>
  </numFmts>
  <fonts count="6" x14ac:knownFonts="1">
    <font>
      <sz val="11"/>
      <color theme="1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b/>
      <sz val="11"/>
      <color rgb="FF000000"/>
      <name val="游ゴシック"/>
      <family val="3"/>
      <charset val="128"/>
    </font>
    <font>
      <sz val="6"/>
      <name val="游ゴシック"/>
      <family val="2"/>
      <charset val="128"/>
      <scheme val="minor"/>
    </font>
    <font>
      <b/>
      <sz val="11"/>
      <color theme="0"/>
      <name val="游ゴシック"/>
      <family val="3"/>
      <charset val="128"/>
      <scheme val="minor"/>
    </font>
    <font>
      <b/>
      <sz val="16"/>
      <color rgb="FFCA066D"/>
      <name val="游ゴシック"/>
      <family val="3"/>
      <charset val="128"/>
      <scheme val="minor"/>
    </font>
  </fonts>
  <fills count="5">
    <fill>
      <patternFill patternType="none"/>
    </fill>
    <fill>
      <patternFill patternType="gray125"/>
    </fill>
    <fill>
      <patternFill patternType="solid">
        <fgColor rgb="FFCA066D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8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>
      <alignment vertical="center"/>
    </xf>
    <xf numFmtId="6" fontId="1" fillId="0" borderId="0" applyFont="0" applyFill="0" applyBorder="0" applyAlignment="0" applyProtection="0">
      <alignment vertical="center"/>
    </xf>
    <xf numFmtId="38" fontId="1" fillId="0" borderId="0" applyFont="0" applyFill="0" applyBorder="0" applyAlignment="0" applyProtection="0">
      <alignment vertical="center"/>
    </xf>
  </cellStyleXfs>
  <cellXfs count="11">
    <xf numFmtId="0" fontId="0" fillId="0" borderId="0" xfId="0">
      <alignment vertical="center"/>
    </xf>
    <xf numFmtId="0" fontId="0" fillId="0" borderId="1" xfId="0" applyBorder="1">
      <alignment vertical="center"/>
    </xf>
    <xf numFmtId="0" fontId="5" fillId="0" borderId="0" xfId="0" applyFont="1">
      <alignment vertical="center"/>
    </xf>
    <xf numFmtId="0" fontId="4" fillId="2" borderId="1" xfId="0" applyFont="1" applyFill="1" applyBorder="1" applyAlignment="1">
      <alignment horizontal="center" vertical="center"/>
    </xf>
    <xf numFmtId="6" fontId="0" fillId="0" borderId="1" xfId="1" applyFont="1" applyBorder="1">
      <alignment vertical="center"/>
    </xf>
    <xf numFmtId="0" fontId="4" fillId="3" borderId="1" xfId="0" applyFont="1" applyFill="1" applyBorder="1" applyAlignment="1">
      <alignment horizontal="center" vertical="center"/>
    </xf>
    <xf numFmtId="0" fontId="0" fillId="4" borderId="1" xfId="0" applyFill="1" applyBorder="1">
      <alignment vertical="center"/>
    </xf>
    <xf numFmtId="6" fontId="0" fillId="4" borderId="1" xfId="1" applyFont="1" applyFill="1" applyBorder="1">
      <alignment vertical="center"/>
    </xf>
    <xf numFmtId="0" fontId="4" fillId="3" borderId="1" xfId="0" applyFont="1" applyFill="1" applyBorder="1" applyAlignment="1">
      <alignment horizontal="center" vertical="center" wrapText="1"/>
    </xf>
    <xf numFmtId="14" fontId="0" fillId="0" borderId="1" xfId="0" applyNumberFormat="1" applyBorder="1">
      <alignment vertical="center"/>
    </xf>
    <xf numFmtId="38" fontId="0" fillId="0" borderId="1" xfId="2" applyFont="1" applyBorder="1">
      <alignment vertical="center"/>
    </xf>
  </cellXfs>
  <cellStyles count="3">
    <cellStyle name="桁区切り" xfId="2" builtinId="6"/>
    <cellStyle name="通貨" xfId="1" builtinId="7"/>
    <cellStyle name="標準" xfId="0" builtinId="0"/>
  </cellStyles>
  <dxfs count="0"/>
  <tableStyles count="0" defaultTableStyle="TableStyleMedium2" defaultPivotStyle="PivotStyleLight16"/>
  <colors>
    <mruColors>
      <color rgb="FFCA066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657225</xdr:colOff>
      <xdr:row>1</xdr:row>
      <xdr:rowOff>0</xdr:rowOff>
    </xdr:from>
    <xdr:to>
      <xdr:col>7</xdr:col>
      <xdr:colOff>47625</xdr:colOff>
      <xdr:row>5</xdr:row>
      <xdr:rowOff>0</xdr:rowOff>
    </xdr:to>
    <xdr:sp macro="" textlink="">
      <xdr:nvSpPr>
        <xdr:cNvPr id="2" name="正方形/長方形 1"/>
        <xdr:cNvSpPr/>
      </xdr:nvSpPr>
      <xdr:spPr>
        <a:xfrm>
          <a:off x="657225" y="238125"/>
          <a:ext cx="4191000" cy="952500"/>
        </a:xfrm>
        <a:prstGeom prst="rect">
          <a:avLst/>
        </a:prstGeom>
        <a:solidFill>
          <a:srgbClr val="CA066D"/>
        </a:solidFill>
        <a:ln w="57150">
          <a:solidFill>
            <a:srgbClr val="7030A0"/>
          </a:solidFill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3200" b="1"/>
            <a:t>ワイン販売管理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304800</xdr:colOff>
          <xdr:row>9</xdr:row>
          <xdr:rowOff>0</xdr:rowOff>
        </xdr:from>
        <xdr:to>
          <xdr:col>3</xdr:col>
          <xdr:colOff>371475</xdr:colOff>
          <xdr:row>10</xdr:row>
          <xdr:rowOff>123825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ja-JP" altLang="en-US" sz="1100" b="1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商品リスト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304800</xdr:colOff>
          <xdr:row>12</xdr:row>
          <xdr:rowOff>0</xdr:rowOff>
        </xdr:from>
        <xdr:to>
          <xdr:col>3</xdr:col>
          <xdr:colOff>371475</xdr:colOff>
          <xdr:row>13</xdr:row>
          <xdr:rowOff>123825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ja-JP" altLang="en-US" sz="1100" b="1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得意先リスト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304800</xdr:colOff>
          <xdr:row>12</xdr:row>
          <xdr:rowOff>0</xdr:rowOff>
        </xdr:from>
        <xdr:to>
          <xdr:col>6</xdr:col>
          <xdr:colOff>371475</xdr:colOff>
          <xdr:row>13</xdr:row>
          <xdr:rowOff>123825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ja-JP" altLang="en-US" sz="1100" b="1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終了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304800</xdr:colOff>
          <xdr:row>9</xdr:row>
          <xdr:rowOff>0</xdr:rowOff>
        </xdr:from>
        <xdr:to>
          <xdr:col>6</xdr:col>
          <xdr:colOff>371475</xdr:colOff>
          <xdr:row>10</xdr:row>
          <xdr:rowOff>123825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ja-JP" altLang="en-US" sz="1100" b="1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月別販売データ</a:t>
              </a:r>
            </a:p>
          </xdr:txBody>
        </xdr:sp>
        <xdr:clientData fPrintsWithSheet="0"/>
      </xdr:twoCellAnchor>
    </mc:Choice>
    <mc:Fallback/>
  </mc:AlternateContent>
  <xdr:oneCellAnchor>
    <xdr:from>
      <xdr:col>4</xdr:col>
      <xdr:colOff>523692</xdr:colOff>
      <xdr:row>4</xdr:row>
      <xdr:rowOff>31733</xdr:rowOff>
    </xdr:from>
    <xdr:ext cx="1791068" cy="593304"/>
    <xdr:sp macro="" textlink="">
      <xdr:nvSpPr>
        <xdr:cNvPr id="4" name="正方形/長方形 3"/>
        <xdr:cNvSpPr/>
      </xdr:nvSpPr>
      <xdr:spPr>
        <a:xfrm>
          <a:off x="3266892" y="984233"/>
          <a:ext cx="1791068" cy="593304"/>
        </a:xfrm>
        <a:prstGeom prst="rect">
          <a:avLst/>
        </a:prstGeom>
        <a:noFill/>
      </xdr:spPr>
      <xdr:txBody>
        <a:bodyPr wrap="none" lIns="91440" tIns="45720" rIns="91440" bIns="45720">
          <a:prstTxWarp prst="textArchDown">
            <a:avLst/>
          </a:prstTxWarp>
          <a:spAutoFit/>
        </a:bodyPr>
        <a:lstStyle/>
        <a:p>
          <a:pPr algn="ctr"/>
          <a:r>
            <a:rPr lang="en-US" altLang="ja-JP" sz="2400" b="1" cap="none" spc="0">
              <a:ln w="9525">
                <a:solidFill>
                  <a:schemeClr val="bg1"/>
                </a:solidFill>
                <a:prstDash val="solid"/>
              </a:ln>
              <a:solidFill>
                <a:srgbClr val="7030A0"/>
              </a:solidFill>
              <a:effectLst/>
            </a:rPr>
            <a:t>Fuji</a:t>
          </a:r>
          <a:r>
            <a:rPr lang="ja-JP" altLang="en-US" sz="2400" b="1" cap="none" spc="0">
              <a:ln w="9525">
                <a:solidFill>
                  <a:schemeClr val="bg1"/>
                </a:solidFill>
                <a:prstDash val="solid"/>
              </a:ln>
              <a:solidFill>
                <a:srgbClr val="7030A0"/>
              </a:solidFill>
              <a:effectLst/>
            </a:rPr>
            <a:t> </a:t>
          </a:r>
          <a:r>
            <a:rPr lang="en-US" altLang="ja-JP" sz="2400" b="1" cap="none" spc="0">
              <a:ln w="9525">
                <a:solidFill>
                  <a:schemeClr val="bg1"/>
                </a:solidFill>
                <a:prstDash val="solid"/>
              </a:ln>
              <a:solidFill>
                <a:srgbClr val="7030A0"/>
              </a:solidFill>
              <a:effectLst/>
            </a:rPr>
            <a:t>Wine</a:t>
          </a:r>
          <a:endParaRPr lang="ja-JP" altLang="en-US" sz="2400" b="1" cap="none" spc="0">
            <a:ln w="9525">
              <a:solidFill>
                <a:schemeClr val="bg1"/>
              </a:solidFill>
              <a:prstDash val="solid"/>
            </a:ln>
            <a:solidFill>
              <a:srgbClr val="7030A0"/>
            </a:solidFill>
            <a:effectLst/>
          </a:endParaRPr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</xdr:row>
          <xdr:rowOff>114300</xdr:rowOff>
        </xdr:from>
        <xdr:to>
          <xdr:col>2</xdr:col>
          <xdr:colOff>1076325</xdr:colOff>
          <xdr:row>3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ja-JP" altLang="en-US" sz="1100" b="1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色で検索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1371600</xdr:colOff>
          <xdr:row>1</xdr:row>
          <xdr:rowOff>114300</xdr:rowOff>
        </xdr:from>
        <xdr:to>
          <xdr:col>2</xdr:col>
          <xdr:colOff>2447925</xdr:colOff>
          <xdr:row>3</xdr:row>
          <xdr:rowOff>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ja-JP" altLang="en-US" sz="1100" b="1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輸入国で検索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19050</xdr:colOff>
          <xdr:row>1</xdr:row>
          <xdr:rowOff>114300</xdr:rowOff>
        </xdr:from>
        <xdr:to>
          <xdr:col>5</xdr:col>
          <xdr:colOff>19050</xdr:colOff>
          <xdr:row>3</xdr:row>
          <xdr:rowOff>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ja-JP" altLang="en-US" sz="1100" b="1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検索解除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314325</xdr:colOff>
          <xdr:row>1</xdr:row>
          <xdr:rowOff>114300</xdr:rowOff>
        </xdr:from>
        <xdr:to>
          <xdr:col>7</xdr:col>
          <xdr:colOff>0</xdr:colOff>
          <xdr:row>3</xdr:row>
          <xdr:rowOff>0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ja-JP" altLang="en-US" sz="1100" b="1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メイン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</xdr:row>
          <xdr:rowOff>114300</xdr:rowOff>
        </xdr:from>
        <xdr:to>
          <xdr:col>2</xdr:col>
          <xdr:colOff>1438275</xdr:colOff>
          <xdr:row>3</xdr:row>
          <xdr:rowOff>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ja-JP" altLang="en-US" sz="1100" b="1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印刷プレビュー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838200</xdr:colOff>
          <xdr:row>1</xdr:row>
          <xdr:rowOff>114300</xdr:rowOff>
        </xdr:from>
        <xdr:to>
          <xdr:col>6</xdr:col>
          <xdr:colOff>180975</xdr:colOff>
          <xdr:row>3</xdr:row>
          <xdr:rowOff>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ja-JP" altLang="en-US" sz="1100" b="1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メイン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228600</xdr:colOff>
          <xdr:row>1</xdr:row>
          <xdr:rowOff>114300</xdr:rowOff>
        </xdr:from>
        <xdr:to>
          <xdr:col>4</xdr:col>
          <xdr:colOff>200025</xdr:colOff>
          <xdr:row>3</xdr:row>
          <xdr:rowOff>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ja-JP" altLang="en-US" sz="1100" b="1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印刷実行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0</xdr:row>
          <xdr:rowOff>200025</xdr:rowOff>
        </xdr:from>
        <xdr:to>
          <xdr:col>4</xdr:col>
          <xdr:colOff>876300</xdr:colOff>
          <xdr:row>2</xdr:row>
          <xdr:rowOff>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ja-JP" altLang="en-US" sz="1100" b="1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販売データ入力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0</xdr:row>
          <xdr:rowOff>200025</xdr:rowOff>
        </xdr:from>
        <xdr:to>
          <xdr:col>6</xdr:col>
          <xdr:colOff>876300</xdr:colOff>
          <xdr:row>2</xdr:row>
          <xdr:rowOff>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ja-JP" altLang="en-US" sz="1100" b="1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新規シート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0</xdr:row>
          <xdr:rowOff>200025</xdr:rowOff>
        </xdr:from>
        <xdr:to>
          <xdr:col>10</xdr:col>
          <xdr:colOff>47625</xdr:colOff>
          <xdr:row>2</xdr:row>
          <xdr:rowOff>0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ja-JP" altLang="en-US" sz="1100" b="1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メイン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6" Type="http://schemas.openxmlformats.org/officeDocument/2006/relationships/ctrlProp" Target="../ctrlProps/ctrlProp8.xml"/><Relationship Id="rId5" Type="http://schemas.openxmlformats.org/officeDocument/2006/relationships/ctrlProp" Target="../ctrlProps/ctrlProp7.xml"/><Relationship Id="rId4" Type="http://schemas.openxmlformats.org/officeDocument/2006/relationships/ctrlProp" Target="../ctrlProps/ctrlProp6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9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2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5" Type="http://schemas.openxmlformats.org/officeDocument/2006/relationships/ctrlProp" Target="../ctrlProps/ctrlProp14.xml"/><Relationship Id="rId4" Type="http://schemas.openxmlformats.org/officeDocument/2006/relationships/ctrlProp" Target="../ctrlProps/ctrlProp1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"/>
  <sheetViews>
    <sheetView tabSelected="1" workbookViewId="0"/>
  </sheetViews>
  <sheetFormatPr defaultRowHeight="18.75" x14ac:dyDescent="0.4"/>
  <sheetData/>
  <phoneticPr fontId="3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商品リストへ">
                <anchor moveWithCells="1">
                  <from>
                    <xdr:col>1</xdr:col>
                    <xdr:colOff>304800</xdr:colOff>
                    <xdr:row>9</xdr:row>
                    <xdr:rowOff>0</xdr:rowOff>
                  </from>
                  <to>
                    <xdr:col>3</xdr:col>
                    <xdr:colOff>371475</xdr:colOff>
                    <xdr:row>10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得意先リストへ">
                <anchor moveWithCells="1">
                  <from>
                    <xdr:col>1</xdr:col>
                    <xdr:colOff>304800</xdr:colOff>
                    <xdr:row>12</xdr:row>
                    <xdr:rowOff>0</xdr:rowOff>
                  </from>
                  <to>
                    <xdr:col>3</xdr:col>
                    <xdr:colOff>371475</xdr:colOff>
                    <xdr:row>13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終了">
                <anchor moveWithCells="1">
                  <from>
                    <xdr:col>4</xdr:col>
                    <xdr:colOff>304800</xdr:colOff>
                    <xdr:row>12</xdr:row>
                    <xdr:rowOff>0</xdr:rowOff>
                  </from>
                  <to>
                    <xdr:col>6</xdr:col>
                    <xdr:colOff>371475</xdr:colOff>
                    <xdr:row>13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月別販売データへ">
                <anchor moveWithCells="1">
                  <from>
                    <xdr:col>4</xdr:col>
                    <xdr:colOff>304800</xdr:colOff>
                    <xdr:row>9</xdr:row>
                    <xdr:rowOff>0</xdr:rowOff>
                  </from>
                  <to>
                    <xdr:col>6</xdr:col>
                    <xdr:colOff>371475</xdr:colOff>
                    <xdr:row>10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B1:G24"/>
  <sheetViews>
    <sheetView workbookViewId="0"/>
  </sheetViews>
  <sheetFormatPr defaultRowHeight="18.75" x14ac:dyDescent="0.4"/>
  <cols>
    <col min="1" max="1" width="1.625" customWidth="1"/>
    <col min="2" max="2" width="11.25" bestFit="1" customWidth="1"/>
    <col min="3" max="3" width="35.875" bestFit="1" customWidth="1"/>
    <col min="4" max="4" width="5.25" bestFit="1" customWidth="1"/>
    <col min="5" max="5" width="8.875" customWidth="1"/>
    <col min="7" max="7" width="9.25" bestFit="1" customWidth="1"/>
  </cols>
  <sheetData>
    <row r="1" spans="2:7" ht="25.5" x14ac:dyDescent="0.4">
      <c r="B1" s="2" t="s">
        <v>1</v>
      </c>
    </row>
    <row r="5" spans="2:7" x14ac:dyDescent="0.4">
      <c r="B5" s="3" t="s">
        <v>2</v>
      </c>
      <c r="C5" s="3" t="s">
        <v>3</v>
      </c>
      <c r="D5" s="3" t="s">
        <v>4</v>
      </c>
      <c r="E5" s="3" t="s">
        <v>5</v>
      </c>
      <c r="F5" s="3" t="s">
        <v>6</v>
      </c>
      <c r="G5" s="3" t="s">
        <v>7</v>
      </c>
    </row>
    <row r="6" spans="2:7" x14ac:dyDescent="0.4">
      <c r="B6" s="1" t="s">
        <v>8</v>
      </c>
      <c r="C6" s="1" t="s">
        <v>9</v>
      </c>
      <c r="D6" s="1" t="s">
        <v>10</v>
      </c>
      <c r="E6" s="4">
        <v>3000</v>
      </c>
      <c r="F6" s="1" t="s">
        <v>11</v>
      </c>
      <c r="G6" s="1"/>
    </row>
    <row r="7" spans="2:7" x14ac:dyDescent="0.4">
      <c r="B7" s="1" t="s">
        <v>12</v>
      </c>
      <c r="C7" s="1" t="s">
        <v>13</v>
      </c>
      <c r="D7" s="1" t="s">
        <v>10</v>
      </c>
      <c r="E7" s="4">
        <v>2500</v>
      </c>
      <c r="F7" s="1" t="s">
        <v>14</v>
      </c>
      <c r="G7" s="1"/>
    </row>
    <row r="8" spans="2:7" x14ac:dyDescent="0.4">
      <c r="B8" s="1" t="s">
        <v>15</v>
      </c>
      <c r="C8" s="1" t="s">
        <v>16</v>
      </c>
      <c r="D8" s="1" t="s">
        <v>10</v>
      </c>
      <c r="E8" s="4">
        <v>1050</v>
      </c>
      <c r="F8" s="1" t="s">
        <v>14</v>
      </c>
      <c r="G8" s="1"/>
    </row>
    <row r="9" spans="2:7" x14ac:dyDescent="0.4">
      <c r="B9" s="1" t="s">
        <v>17</v>
      </c>
      <c r="C9" s="1" t="s">
        <v>18</v>
      </c>
      <c r="D9" s="1" t="s">
        <v>10</v>
      </c>
      <c r="E9" s="4">
        <v>3150</v>
      </c>
      <c r="F9" s="1" t="s">
        <v>14</v>
      </c>
      <c r="G9" s="1" t="s">
        <v>19</v>
      </c>
    </row>
    <row r="10" spans="2:7" x14ac:dyDescent="0.4">
      <c r="B10" s="1" t="s">
        <v>20</v>
      </c>
      <c r="C10" s="1" t="s">
        <v>21</v>
      </c>
      <c r="D10" s="1" t="s">
        <v>10</v>
      </c>
      <c r="E10" s="4">
        <v>2980</v>
      </c>
      <c r="F10" s="1" t="s">
        <v>14</v>
      </c>
      <c r="G10" s="1"/>
    </row>
    <row r="11" spans="2:7" x14ac:dyDescent="0.4">
      <c r="B11" s="1" t="s">
        <v>22</v>
      </c>
      <c r="C11" s="1" t="s">
        <v>23</v>
      </c>
      <c r="D11" s="1" t="s">
        <v>24</v>
      </c>
      <c r="E11" s="4">
        <v>1800</v>
      </c>
      <c r="F11" s="1" t="s">
        <v>14</v>
      </c>
      <c r="G11" s="1"/>
    </row>
    <row r="12" spans="2:7" x14ac:dyDescent="0.4">
      <c r="B12" s="1" t="s">
        <v>25</v>
      </c>
      <c r="C12" s="1" t="s">
        <v>26</v>
      </c>
      <c r="D12" s="1" t="s">
        <v>24</v>
      </c>
      <c r="E12" s="4">
        <v>800</v>
      </c>
      <c r="F12" s="1" t="s">
        <v>11</v>
      </c>
      <c r="G12" s="1"/>
    </row>
    <row r="13" spans="2:7" x14ac:dyDescent="0.4">
      <c r="B13" s="1" t="s">
        <v>27</v>
      </c>
      <c r="C13" s="1" t="s">
        <v>28</v>
      </c>
      <c r="D13" s="1" t="s">
        <v>24</v>
      </c>
      <c r="E13" s="4">
        <v>2500</v>
      </c>
      <c r="F13" s="1" t="s">
        <v>29</v>
      </c>
      <c r="G13" s="1"/>
    </row>
    <row r="14" spans="2:7" x14ac:dyDescent="0.4">
      <c r="B14" s="1" t="s">
        <v>30</v>
      </c>
      <c r="C14" s="1" t="s">
        <v>31</v>
      </c>
      <c r="D14" s="1" t="s">
        <v>24</v>
      </c>
      <c r="E14" s="4">
        <v>3890</v>
      </c>
      <c r="F14" s="1" t="s">
        <v>11</v>
      </c>
      <c r="G14" s="1" t="s">
        <v>19</v>
      </c>
    </row>
    <row r="15" spans="2:7" x14ac:dyDescent="0.4">
      <c r="B15" s="1" t="s">
        <v>32</v>
      </c>
      <c r="C15" s="1" t="s">
        <v>33</v>
      </c>
      <c r="D15" s="1" t="s">
        <v>10</v>
      </c>
      <c r="E15" s="4">
        <v>4980</v>
      </c>
      <c r="F15" s="1" t="s">
        <v>34</v>
      </c>
      <c r="G15" s="1"/>
    </row>
    <row r="16" spans="2:7" x14ac:dyDescent="0.4">
      <c r="B16" s="1" t="s">
        <v>35</v>
      </c>
      <c r="C16" s="1" t="s">
        <v>36</v>
      </c>
      <c r="D16" s="1" t="s">
        <v>10</v>
      </c>
      <c r="E16" s="4">
        <v>2980</v>
      </c>
      <c r="F16" s="1" t="s">
        <v>37</v>
      </c>
      <c r="G16" s="1"/>
    </row>
    <row r="17" spans="2:7" x14ac:dyDescent="0.4">
      <c r="B17" s="1" t="s">
        <v>38</v>
      </c>
      <c r="C17" s="1" t="s">
        <v>39</v>
      </c>
      <c r="D17" s="1" t="s">
        <v>10</v>
      </c>
      <c r="E17" s="4">
        <v>2800</v>
      </c>
      <c r="F17" s="1" t="s">
        <v>40</v>
      </c>
      <c r="G17" s="1"/>
    </row>
    <row r="18" spans="2:7" x14ac:dyDescent="0.4">
      <c r="B18" s="1" t="s">
        <v>41</v>
      </c>
      <c r="C18" s="1" t="s">
        <v>42</v>
      </c>
      <c r="D18" s="1" t="s">
        <v>10</v>
      </c>
      <c r="E18" s="4">
        <v>7980</v>
      </c>
      <c r="F18" s="1" t="s">
        <v>40</v>
      </c>
      <c r="G18" s="1" t="s">
        <v>19</v>
      </c>
    </row>
    <row r="19" spans="2:7" x14ac:dyDescent="0.4">
      <c r="B19" s="1" t="s">
        <v>43</v>
      </c>
      <c r="C19" s="1" t="s">
        <v>44</v>
      </c>
      <c r="D19" s="1" t="s">
        <v>10</v>
      </c>
      <c r="E19" s="4">
        <v>5980</v>
      </c>
      <c r="F19" s="1" t="s">
        <v>40</v>
      </c>
      <c r="G19" s="1"/>
    </row>
    <row r="20" spans="2:7" x14ac:dyDescent="0.4">
      <c r="B20" s="1" t="s">
        <v>45</v>
      </c>
      <c r="C20" s="1" t="s">
        <v>46</v>
      </c>
      <c r="D20" s="1" t="s">
        <v>24</v>
      </c>
      <c r="E20" s="4">
        <v>1880</v>
      </c>
      <c r="F20" s="1" t="s">
        <v>47</v>
      </c>
      <c r="G20" s="1"/>
    </row>
    <row r="21" spans="2:7" x14ac:dyDescent="0.4">
      <c r="B21" s="1" t="s">
        <v>48</v>
      </c>
      <c r="C21" s="1" t="s">
        <v>49</v>
      </c>
      <c r="D21" s="1" t="s">
        <v>24</v>
      </c>
      <c r="E21" s="4">
        <v>2980</v>
      </c>
      <c r="F21" s="1" t="s">
        <v>50</v>
      </c>
      <c r="G21" s="1" t="s">
        <v>19</v>
      </c>
    </row>
    <row r="22" spans="2:7" x14ac:dyDescent="0.4">
      <c r="B22" s="1" t="s">
        <v>51</v>
      </c>
      <c r="C22" s="1" t="s">
        <v>52</v>
      </c>
      <c r="D22" s="1" t="s">
        <v>24</v>
      </c>
      <c r="E22" s="4">
        <v>1300</v>
      </c>
      <c r="F22" s="1" t="s">
        <v>40</v>
      </c>
      <c r="G22" s="1"/>
    </row>
    <row r="23" spans="2:7" x14ac:dyDescent="0.4">
      <c r="B23" s="1" t="s">
        <v>53</v>
      </c>
      <c r="C23" s="1" t="s">
        <v>54</v>
      </c>
      <c r="D23" s="1" t="s">
        <v>55</v>
      </c>
      <c r="E23" s="4">
        <v>3580</v>
      </c>
      <c r="F23" s="1" t="s">
        <v>40</v>
      </c>
      <c r="G23" s="1"/>
    </row>
    <row r="24" spans="2:7" x14ac:dyDescent="0.4">
      <c r="B24" s="1" t="s">
        <v>56</v>
      </c>
      <c r="C24" s="1" t="s">
        <v>57</v>
      </c>
      <c r="D24" s="1" t="s">
        <v>58</v>
      </c>
      <c r="E24" s="4">
        <v>4980</v>
      </c>
      <c r="F24" s="1" t="s">
        <v>40</v>
      </c>
      <c r="G24" s="1"/>
    </row>
  </sheetData>
  <phoneticPr fontId="3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色検索">
                <anchor moveWithCells="1">
                  <from>
                    <xdr:col>2</xdr:col>
                    <xdr:colOff>0</xdr:colOff>
                    <xdr:row>1</xdr:row>
                    <xdr:rowOff>114300</xdr:rowOff>
                  </from>
                  <to>
                    <xdr:col>2</xdr:col>
                    <xdr:colOff>1076325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輸入国検索">
                <anchor moveWithCells="1">
                  <from>
                    <xdr:col>2</xdr:col>
                    <xdr:colOff>1371600</xdr:colOff>
                    <xdr:row>1</xdr:row>
                    <xdr:rowOff>114300</xdr:rowOff>
                  </from>
                  <to>
                    <xdr:col>2</xdr:col>
                    <xdr:colOff>2447925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5" name="Button 3">
              <controlPr defaultSize="0" print="0" autoFill="0" autoPict="0" macro="[0]!検索解除">
                <anchor moveWithCells="1">
                  <from>
                    <xdr:col>3</xdr:col>
                    <xdr:colOff>19050</xdr:colOff>
                    <xdr:row>1</xdr:row>
                    <xdr:rowOff>114300</xdr:rowOff>
                  </from>
                  <to>
                    <xdr:col>5</xdr:col>
                    <xdr:colOff>19050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6" name="Button 4">
              <controlPr defaultSize="0" print="0" autoFill="0" autoPict="0" macro="[0]!メインへ">
                <anchor moveWithCells="1">
                  <from>
                    <xdr:col>5</xdr:col>
                    <xdr:colOff>314325</xdr:colOff>
                    <xdr:row>1</xdr:row>
                    <xdr:rowOff>114300</xdr:rowOff>
                  </from>
                  <to>
                    <xdr:col>7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B1:G23"/>
  <sheetViews>
    <sheetView workbookViewId="0"/>
  </sheetViews>
  <sheetFormatPr defaultRowHeight="18.75" x14ac:dyDescent="0.4"/>
  <cols>
    <col min="1" max="1" width="1.625" customWidth="1"/>
    <col min="2" max="2" width="13" bestFit="1" customWidth="1"/>
    <col min="3" max="4" width="19.25" bestFit="1" customWidth="1"/>
    <col min="5" max="5" width="9.375" bestFit="1" customWidth="1"/>
    <col min="6" max="6" width="27.5" bestFit="1" customWidth="1"/>
    <col min="7" max="7" width="14.75" bestFit="1" customWidth="1"/>
  </cols>
  <sheetData>
    <row r="1" spans="2:7" ht="25.5" x14ac:dyDescent="0.4">
      <c r="B1" s="2" t="s">
        <v>59</v>
      </c>
    </row>
    <row r="5" spans="2:7" x14ac:dyDescent="0.4">
      <c r="B5" s="3" t="s">
        <v>60</v>
      </c>
      <c r="C5" s="3" t="s">
        <v>61</v>
      </c>
      <c r="D5" s="3" t="s">
        <v>62</v>
      </c>
      <c r="E5" s="3" t="s">
        <v>0</v>
      </c>
      <c r="F5" s="3" t="s">
        <v>63</v>
      </c>
      <c r="G5" s="3" t="s">
        <v>64</v>
      </c>
    </row>
    <row r="6" spans="2:7" x14ac:dyDescent="0.4">
      <c r="B6" s="1">
        <v>1001</v>
      </c>
      <c r="C6" s="1" t="s">
        <v>65</v>
      </c>
      <c r="D6" s="1" t="str">
        <f t="shared" ref="D6:D23" si="0">PHONETIC(C6)</f>
        <v>タカムラデパート</v>
      </c>
      <c r="E6" s="1" t="s">
        <v>66</v>
      </c>
      <c r="F6" s="1" t="s">
        <v>67</v>
      </c>
      <c r="G6" s="1" t="s">
        <v>68</v>
      </c>
    </row>
    <row r="7" spans="2:7" x14ac:dyDescent="0.4">
      <c r="B7" s="1">
        <v>1002</v>
      </c>
      <c r="C7" s="1" t="s">
        <v>69</v>
      </c>
      <c r="D7" s="1" t="str">
        <f t="shared" si="0"/>
        <v>スターマーケット</v>
      </c>
      <c r="E7" s="1" t="s">
        <v>70</v>
      </c>
      <c r="F7" s="1" t="s">
        <v>71</v>
      </c>
      <c r="G7" s="1" t="s">
        <v>72</v>
      </c>
    </row>
    <row r="8" spans="2:7" x14ac:dyDescent="0.4">
      <c r="B8" s="1">
        <v>1003</v>
      </c>
      <c r="C8" s="1" t="s">
        <v>73</v>
      </c>
      <c r="D8" s="1" t="str">
        <f t="shared" si="0"/>
        <v>ナカハラショウテン</v>
      </c>
      <c r="E8" s="1" t="s">
        <v>74</v>
      </c>
      <c r="F8" s="1" t="s">
        <v>75</v>
      </c>
      <c r="G8" s="1" t="s">
        <v>76</v>
      </c>
    </row>
    <row r="9" spans="2:7" x14ac:dyDescent="0.4">
      <c r="B9" s="1">
        <v>1004</v>
      </c>
      <c r="C9" s="1" t="s">
        <v>77</v>
      </c>
      <c r="D9" s="1" t="str">
        <f t="shared" si="0"/>
        <v>ワインショップ</v>
      </c>
      <c r="E9" s="1" t="s">
        <v>78</v>
      </c>
      <c r="F9" s="1" t="s">
        <v>79</v>
      </c>
      <c r="G9" s="1" t="s">
        <v>80</v>
      </c>
    </row>
    <row r="10" spans="2:7" x14ac:dyDescent="0.4">
      <c r="B10" s="1">
        <v>1005</v>
      </c>
      <c r="C10" s="1" t="s">
        <v>81</v>
      </c>
      <c r="D10" s="1" t="str">
        <f t="shared" si="0"/>
        <v>オオタショウテン</v>
      </c>
      <c r="E10" s="1" t="s">
        <v>82</v>
      </c>
      <c r="F10" s="1" t="s">
        <v>83</v>
      </c>
      <c r="G10" s="1" t="s">
        <v>84</v>
      </c>
    </row>
    <row r="11" spans="2:7" x14ac:dyDescent="0.4">
      <c r="B11" s="1">
        <v>1006</v>
      </c>
      <c r="C11" s="1" t="s">
        <v>85</v>
      </c>
      <c r="D11" s="1" t="str">
        <f t="shared" si="0"/>
        <v>キタマルデパート</v>
      </c>
      <c r="E11" s="1" t="s">
        <v>86</v>
      </c>
      <c r="F11" s="1" t="s">
        <v>87</v>
      </c>
      <c r="G11" s="1" t="s">
        <v>88</v>
      </c>
    </row>
    <row r="12" spans="2:7" x14ac:dyDescent="0.4">
      <c r="B12" s="1">
        <v>1007</v>
      </c>
      <c r="C12" s="1" t="s">
        <v>89</v>
      </c>
      <c r="D12" s="1" t="str">
        <f t="shared" si="0"/>
        <v>ヘルシーストアー</v>
      </c>
      <c r="E12" s="1" t="s">
        <v>90</v>
      </c>
      <c r="F12" s="1" t="s">
        <v>91</v>
      </c>
      <c r="G12" s="1" t="s">
        <v>92</v>
      </c>
    </row>
    <row r="13" spans="2:7" x14ac:dyDescent="0.4">
      <c r="B13" s="1">
        <v>1008</v>
      </c>
      <c r="C13" s="1" t="s">
        <v>93</v>
      </c>
      <c r="D13" s="1" t="str">
        <f t="shared" si="0"/>
        <v>ワイン マーケット</v>
      </c>
      <c r="E13" s="1" t="s">
        <v>94</v>
      </c>
      <c r="F13" s="1" t="s">
        <v>95</v>
      </c>
      <c r="G13" s="1" t="s">
        <v>96</v>
      </c>
    </row>
    <row r="14" spans="2:7" x14ac:dyDescent="0.4">
      <c r="B14" s="1">
        <v>1009</v>
      </c>
      <c r="C14" s="1" t="s">
        <v>97</v>
      </c>
      <c r="D14" s="1" t="str">
        <f t="shared" si="0"/>
        <v>スーパーダイハラ</v>
      </c>
      <c r="E14" s="1" t="s">
        <v>98</v>
      </c>
      <c r="F14" s="1" t="s">
        <v>99</v>
      </c>
      <c r="G14" s="1" t="s">
        <v>100</v>
      </c>
    </row>
    <row r="15" spans="2:7" x14ac:dyDescent="0.4">
      <c r="B15" s="1">
        <v>1010</v>
      </c>
      <c r="C15" s="1" t="s">
        <v>101</v>
      </c>
      <c r="D15" s="1" t="str">
        <f t="shared" si="0"/>
        <v>スーパーハチカン</v>
      </c>
      <c r="E15" s="1" t="s">
        <v>102</v>
      </c>
      <c r="F15" s="1" t="s">
        <v>103</v>
      </c>
      <c r="G15" s="1" t="s">
        <v>104</v>
      </c>
    </row>
    <row r="16" spans="2:7" x14ac:dyDescent="0.4">
      <c r="B16" s="1">
        <v>1011</v>
      </c>
      <c r="C16" s="1" t="s">
        <v>105</v>
      </c>
      <c r="D16" s="1" t="str">
        <f t="shared" si="0"/>
        <v>シラヤマデパート</v>
      </c>
      <c r="E16" s="1" t="s">
        <v>106</v>
      </c>
      <c r="F16" s="1" t="s">
        <v>107</v>
      </c>
      <c r="G16" s="1" t="s">
        <v>108</v>
      </c>
    </row>
    <row r="17" spans="2:7" x14ac:dyDescent="0.4">
      <c r="B17" s="1">
        <v>1012</v>
      </c>
      <c r="C17" s="1" t="s">
        <v>109</v>
      </c>
      <c r="D17" s="1" t="str">
        <f t="shared" si="0"/>
        <v>フジヤマデパート</v>
      </c>
      <c r="E17" s="1" t="s">
        <v>110</v>
      </c>
      <c r="F17" s="1" t="s">
        <v>111</v>
      </c>
      <c r="G17" s="1" t="s">
        <v>112</v>
      </c>
    </row>
    <row r="18" spans="2:7" x14ac:dyDescent="0.4">
      <c r="B18" s="1">
        <v>1013</v>
      </c>
      <c r="C18" s="1" t="s">
        <v>113</v>
      </c>
      <c r="D18" s="1" t="str">
        <f t="shared" si="0"/>
        <v>スズキショウテン</v>
      </c>
      <c r="E18" s="1" t="s">
        <v>114</v>
      </c>
      <c r="F18" s="1" t="s">
        <v>115</v>
      </c>
      <c r="G18" s="1" t="s">
        <v>116</v>
      </c>
    </row>
    <row r="19" spans="2:7" x14ac:dyDescent="0.4">
      <c r="B19" s="1">
        <v>1014</v>
      </c>
      <c r="C19" s="1" t="s">
        <v>117</v>
      </c>
      <c r="D19" s="1" t="str">
        <f t="shared" si="0"/>
        <v>モリカワショウテン</v>
      </c>
      <c r="E19" s="1" t="s">
        <v>118</v>
      </c>
      <c r="F19" s="1" t="s">
        <v>119</v>
      </c>
      <c r="G19" s="1" t="s">
        <v>120</v>
      </c>
    </row>
    <row r="20" spans="2:7" x14ac:dyDescent="0.4">
      <c r="B20" s="1">
        <v>1015</v>
      </c>
      <c r="C20" s="1" t="s">
        <v>121</v>
      </c>
      <c r="D20" s="1" t="str">
        <f t="shared" si="0"/>
        <v>スーパーウエハラ</v>
      </c>
      <c r="E20" s="1" t="s">
        <v>122</v>
      </c>
      <c r="F20" s="1" t="s">
        <v>123</v>
      </c>
      <c r="G20" s="1" t="s">
        <v>124</v>
      </c>
    </row>
    <row r="21" spans="2:7" x14ac:dyDescent="0.4">
      <c r="B21" s="1">
        <v>1016</v>
      </c>
      <c r="C21" s="1" t="s">
        <v>125</v>
      </c>
      <c r="D21" s="1" t="str">
        <f t="shared" si="0"/>
        <v>シマバラショウテン</v>
      </c>
      <c r="E21" s="1" t="s">
        <v>126</v>
      </c>
      <c r="F21" s="1" t="s">
        <v>71</v>
      </c>
      <c r="G21" s="1" t="s">
        <v>127</v>
      </c>
    </row>
    <row r="22" spans="2:7" x14ac:dyDescent="0.4">
      <c r="B22" s="1">
        <v>1017</v>
      </c>
      <c r="C22" s="1" t="s">
        <v>128</v>
      </c>
      <c r="D22" s="1" t="str">
        <f t="shared" si="0"/>
        <v>キタガワマーケット</v>
      </c>
      <c r="E22" s="1" t="s">
        <v>129</v>
      </c>
      <c r="F22" s="1" t="s">
        <v>87</v>
      </c>
      <c r="G22" s="1" t="s">
        <v>130</v>
      </c>
    </row>
    <row r="23" spans="2:7" x14ac:dyDescent="0.4">
      <c r="B23" s="1">
        <v>1018</v>
      </c>
      <c r="C23" s="1" t="s">
        <v>131</v>
      </c>
      <c r="D23" s="1" t="str">
        <f t="shared" si="0"/>
        <v>タムラショウテン</v>
      </c>
      <c r="E23" s="1" t="s">
        <v>132</v>
      </c>
      <c r="F23" s="1" t="s">
        <v>71</v>
      </c>
      <c r="G23" s="1" t="s">
        <v>133</v>
      </c>
    </row>
  </sheetData>
  <phoneticPr fontId="3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印刷プレビュー">
                <anchor moveWithCells="1">
                  <from>
                    <xdr:col>2</xdr:col>
                    <xdr:colOff>0</xdr:colOff>
                    <xdr:row>1</xdr:row>
                    <xdr:rowOff>114300</xdr:rowOff>
                  </from>
                  <to>
                    <xdr:col>2</xdr:col>
                    <xdr:colOff>1438275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4" name="Button 2">
              <controlPr defaultSize="0" print="0" autoFill="0" autoPict="0" macro="[0]!メインへ">
                <anchor moveWithCells="1">
                  <from>
                    <xdr:col>5</xdr:col>
                    <xdr:colOff>838200</xdr:colOff>
                    <xdr:row>1</xdr:row>
                    <xdr:rowOff>114300</xdr:rowOff>
                  </from>
                  <to>
                    <xdr:col>6</xdr:col>
                    <xdr:colOff>180975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5" name="Button 3">
              <controlPr defaultSize="0" print="0" autoFill="0" autoPict="0" macro="[0]!印刷部数">
                <anchor moveWithCells="1">
                  <from>
                    <xdr:col>3</xdr:col>
                    <xdr:colOff>228600</xdr:colOff>
                    <xdr:row>1</xdr:row>
                    <xdr:rowOff>114300</xdr:rowOff>
                  </from>
                  <to>
                    <xdr:col>4</xdr:col>
                    <xdr:colOff>200025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B1:K14"/>
  <sheetViews>
    <sheetView workbookViewId="0"/>
  </sheetViews>
  <sheetFormatPr defaultRowHeight="18.75" x14ac:dyDescent="0.4"/>
  <cols>
    <col min="1" max="1" width="1.625" customWidth="1"/>
    <col min="2" max="2" width="4.875" bestFit="1" customWidth="1"/>
    <col min="3" max="3" width="10" customWidth="1"/>
    <col min="4" max="4" width="7.375" bestFit="1" customWidth="1"/>
    <col min="5" max="5" width="18.75" customWidth="1"/>
    <col min="6" max="6" width="7.375" bestFit="1" customWidth="1"/>
    <col min="7" max="7" width="23.5" bestFit="1" customWidth="1"/>
    <col min="8" max="8" width="5.625" customWidth="1"/>
    <col min="9" max="10" width="9.125" customWidth="1"/>
    <col min="11" max="11" width="12.875" customWidth="1"/>
  </cols>
  <sheetData>
    <row r="1" spans="2:11" ht="25.5" x14ac:dyDescent="0.4">
      <c r="B1" s="2" t="s">
        <v>134</v>
      </c>
    </row>
    <row r="4" spans="2:11" ht="36" x14ac:dyDescent="0.4">
      <c r="B4" s="5" t="s">
        <v>135</v>
      </c>
      <c r="C4" s="5" t="s">
        <v>136</v>
      </c>
      <c r="D4" s="8" t="s">
        <v>60</v>
      </c>
      <c r="E4" s="5" t="s">
        <v>61</v>
      </c>
      <c r="F4" s="8" t="s">
        <v>2</v>
      </c>
      <c r="G4" s="5" t="s">
        <v>3</v>
      </c>
      <c r="H4" s="5" t="s">
        <v>4</v>
      </c>
      <c r="I4" s="5" t="s">
        <v>5</v>
      </c>
      <c r="J4" s="5" t="s">
        <v>137</v>
      </c>
      <c r="K4" s="5" t="s">
        <v>138</v>
      </c>
    </row>
    <row r="5" spans="2:11" x14ac:dyDescent="0.4">
      <c r="B5" s="6">
        <v>1</v>
      </c>
      <c r="C5" s="9"/>
      <c r="D5" s="1"/>
      <c r="E5" s="6" t="str">
        <f>IF(D5="","",VLOOKUP(D5,得意先リスト!$B$5:$G$50,2,FALSE))</f>
        <v/>
      </c>
      <c r="F5" s="1"/>
      <c r="G5" s="6" t="str">
        <f>IF(F5="","",VLOOKUP(F5,商品リスト!$B$5:$G$50,2,FALSE))</f>
        <v/>
      </c>
      <c r="H5" s="6" t="str">
        <f>IF(F5="","",VLOOKUP(F5,商品リスト!$B$5:$G$50,3,FALSE))</f>
        <v/>
      </c>
      <c r="I5" s="7" t="str">
        <f>IF(F5="","",VLOOKUP(F5,商品リスト!$B$5:$G$50,4,FALSE))</f>
        <v/>
      </c>
      <c r="J5" s="10"/>
      <c r="K5" s="7"/>
    </row>
    <row r="6" spans="2:11" x14ac:dyDescent="0.4">
      <c r="B6" s="6">
        <f>B5+1</f>
        <v>2</v>
      </c>
      <c r="C6" s="9"/>
      <c r="D6" s="1"/>
      <c r="E6" s="6" t="str">
        <f>IF(D6="","",VLOOKUP(D6,得意先リスト!$B$5:$G$50,2,FALSE))</f>
        <v/>
      </c>
      <c r="F6" s="1"/>
      <c r="G6" s="6" t="str">
        <f>IF(F6="","",VLOOKUP(F6,商品リスト!$B$5:$G$50,2,FALSE))</f>
        <v/>
      </c>
      <c r="H6" s="6" t="str">
        <f>IF(F6="","",VLOOKUP(F6,商品リスト!$B$5:$G$50,3,FALSE))</f>
        <v/>
      </c>
      <c r="I6" s="7" t="str">
        <f>IF(F6="","",VLOOKUP(F6,商品リスト!$B$5:$G$50,4,FALSE))</f>
        <v/>
      </c>
      <c r="J6" s="10"/>
      <c r="K6" s="7"/>
    </row>
    <row r="7" spans="2:11" x14ac:dyDescent="0.4">
      <c r="B7" s="6">
        <v>3</v>
      </c>
      <c r="C7" s="9"/>
      <c r="D7" s="1"/>
      <c r="E7" s="6" t="str">
        <f>IF(D7="","",VLOOKUP(D7,得意先リスト!$B$5:$G$50,2,FALSE))</f>
        <v/>
      </c>
      <c r="F7" s="1"/>
      <c r="G7" s="6" t="str">
        <f>IF(F7="","",VLOOKUP(F7,商品リスト!$B$5:$G$50,2,FALSE))</f>
        <v/>
      </c>
      <c r="H7" s="6" t="str">
        <f>IF(F7="","",VLOOKUP(F7,商品リスト!$B$5:$G$50,3,FALSE))</f>
        <v/>
      </c>
      <c r="I7" s="7" t="str">
        <f>IF(F7="","",VLOOKUP(F7,商品リスト!$B$5:$G$50,4,FALSE))</f>
        <v/>
      </c>
      <c r="J7" s="10"/>
      <c r="K7" s="7"/>
    </row>
    <row r="8" spans="2:11" x14ac:dyDescent="0.4">
      <c r="B8" s="6">
        <v>4</v>
      </c>
      <c r="C8" s="9"/>
      <c r="D8" s="1"/>
      <c r="E8" s="6" t="str">
        <f>IF(D8="","",VLOOKUP(D8,得意先リスト!$B$5:$G$50,2,FALSE))</f>
        <v/>
      </c>
      <c r="F8" s="1"/>
      <c r="G8" s="6" t="str">
        <f>IF(F8="","",VLOOKUP(F8,商品リスト!$B$5:$G$50,2,FALSE))</f>
        <v/>
      </c>
      <c r="H8" s="6" t="str">
        <f>IF(F8="","",VLOOKUP(F8,商品リスト!$B$5:$G$50,3,FALSE))</f>
        <v/>
      </c>
      <c r="I8" s="7" t="str">
        <f>IF(F8="","",VLOOKUP(F8,商品リスト!$B$5:$G$50,4,FALSE))</f>
        <v/>
      </c>
      <c r="J8" s="10"/>
      <c r="K8" s="7"/>
    </row>
    <row r="9" spans="2:11" x14ac:dyDescent="0.4">
      <c r="B9" s="6">
        <v>5</v>
      </c>
      <c r="C9" s="9"/>
      <c r="D9" s="1"/>
      <c r="E9" s="6" t="str">
        <f>IF(D9="","",VLOOKUP(D9,得意先リスト!$B$5:$G$50,2,FALSE))</f>
        <v/>
      </c>
      <c r="F9" s="1"/>
      <c r="G9" s="6" t="str">
        <f>IF(F9="","",VLOOKUP(F9,商品リスト!$B$5:$G$50,2,FALSE))</f>
        <v/>
      </c>
      <c r="H9" s="6" t="str">
        <f>IF(F9="","",VLOOKUP(F9,商品リスト!$B$5:$G$50,3,FALSE))</f>
        <v/>
      </c>
      <c r="I9" s="7" t="str">
        <f>IF(F9="","",VLOOKUP(F9,商品リスト!$B$5:$G$50,4,FALSE))</f>
        <v/>
      </c>
      <c r="J9" s="10"/>
      <c r="K9" s="7"/>
    </row>
    <row r="10" spans="2:11" x14ac:dyDescent="0.4">
      <c r="B10" s="6">
        <v>6</v>
      </c>
      <c r="C10" s="9"/>
      <c r="D10" s="1"/>
      <c r="E10" s="6" t="str">
        <f>IF(D10="","",VLOOKUP(D10,得意先リスト!$B$5:$G$50,2,FALSE))</f>
        <v/>
      </c>
      <c r="F10" s="1"/>
      <c r="G10" s="6" t="str">
        <f>IF(F10="","",VLOOKUP(F10,商品リスト!$B$5:$G$50,2,FALSE))</f>
        <v/>
      </c>
      <c r="H10" s="6" t="str">
        <f>IF(F10="","",VLOOKUP(F10,商品リスト!$B$5:$G$50,3,FALSE))</f>
        <v/>
      </c>
      <c r="I10" s="7" t="str">
        <f>IF(F10="","",VLOOKUP(F10,商品リスト!$B$5:$G$50,4,FALSE))</f>
        <v/>
      </c>
      <c r="J10" s="10"/>
      <c r="K10" s="7"/>
    </row>
    <row r="11" spans="2:11" x14ac:dyDescent="0.4">
      <c r="B11" s="6">
        <v>7</v>
      </c>
      <c r="C11" s="9"/>
      <c r="D11" s="1"/>
      <c r="E11" s="6" t="str">
        <f>IF(D11="","",VLOOKUP(D11,得意先リスト!$B$5:$G$50,2,FALSE))</f>
        <v/>
      </c>
      <c r="F11" s="1"/>
      <c r="G11" s="6" t="str">
        <f>IF(F11="","",VLOOKUP(F11,商品リスト!$B$5:$G$50,2,FALSE))</f>
        <v/>
      </c>
      <c r="H11" s="6" t="str">
        <f>IF(F11="","",VLOOKUP(F11,商品リスト!$B$5:$G$50,3,FALSE))</f>
        <v/>
      </c>
      <c r="I11" s="7" t="str">
        <f>IF(F11="","",VLOOKUP(F11,商品リスト!$B$5:$G$50,4,FALSE))</f>
        <v/>
      </c>
      <c r="J11" s="10"/>
      <c r="K11" s="7"/>
    </row>
    <row r="12" spans="2:11" x14ac:dyDescent="0.4">
      <c r="B12" s="6">
        <v>8</v>
      </c>
      <c r="C12" s="9"/>
      <c r="D12" s="1"/>
      <c r="E12" s="6" t="str">
        <f>IF(D12="","",VLOOKUP(D12,得意先リスト!$B$5:$G$50,2,FALSE))</f>
        <v/>
      </c>
      <c r="F12" s="1"/>
      <c r="G12" s="6" t="str">
        <f>IF(F12="","",VLOOKUP(F12,商品リスト!$B$5:$G$50,2,FALSE))</f>
        <v/>
      </c>
      <c r="H12" s="6" t="str">
        <f>IF(F12="","",VLOOKUP(F12,商品リスト!$B$5:$G$50,3,FALSE))</f>
        <v/>
      </c>
      <c r="I12" s="7" t="str">
        <f>IF(F12="","",VLOOKUP(F12,商品リスト!$B$5:$G$50,4,FALSE))</f>
        <v/>
      </c>
      <c r="J12" s="10"/>
      <c r="K12" s="7"/>
    </row>
    <row r="13" spans="2:11" x14ac:dyDescent="0.4">
      <c r="B13" s="6">
        <v>9</v>
      </c>
      <c r="C13" s="9"/>
      <c r="D13" s="1"/>
      <c r="E13" s="6" t="str">
        <f>IF(D13="","",VLOOKUP(D13,得意先リスト!$B$5:$G$50,2,FALSE))</f>
        <v/>
      </c>
      <c r="F13" s="1"/>
      <c r="G13" s="6" t="str">
        <f>IF(F13="","",VLOOKUP(F13,商品リスト!$B$5:$G$50,2,FALSE))</f>
        <v/>
      </c>
      <c r="H13" s="6" t="str">
        <f>IF(F13="","",VLOOKUP(F13,商品リスト!$B$5:$G$50,3,FALSE))</f>
        <v/>
      </c>
      <c r="I13" s="7" t="str">
        <f>IF(F13="","",VLOOKUP(F13,商品リスト!$B$5:$G$50,4,FALSE))</f>
        <v/>
      </c>
      <c r="J13" s="10"/>
      <c r="K13" s="7"/>
    </row>
    <row r="14" spans="2:11" x14ac:dyDescent="0.4">
      <c r="B14" s="6">
        <v>10</v>
      </c>
      <c r="C14" s="9"/>
      <c r="D14" s="1"/>
      <c r="E14" s="6" t="str">
        <f>IF(D14="","",VLOOKUP(D14,得意先リスト!$B$5:$G$50,2,FALSE))</f>
        <v/>
      </c>
      <c r="F14" s="1"/>
      <c r="G14" s="6" t="str">
        <f>IF(F14="","",VLOOKUP(F14,商品リスト!$B$5:$G$50,2,FALSE))</f>
        <v/>
      </c>
      <c r="H14" s="6" t="str">
        <f>IF(F14="","",VLOOKUP(F14,商品リスト!$B$5:$G$50,3,FALSE))</f>
        <v/>
      </c>
      <c r="I14" s="7" t="str">
        <f>IF(F14="","",VLOOKUP(F14,商品リスト!$B$5:$G$50,4,FALSE))</f>
        <v/>
      </c>
      <c r="J14" s="10"/>
      <c r="K14" s="7"/>
    </row>
  </sheetData>
  <phoneticPr fontId="3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入力">
                <anchor moveWithCells="1">
                  <from>
                    <xdr:col>3</xdr:col>
                    <xdr:colOff>0</xdr:colOff>
                    <xdr:row>0</xdr:row>
                    <xdr:rowOff>200025</xdr:rowOff>
                  </from>
                  <to>
                    <xdr:col>4</xdr:col>
                    <xdr:colOff>876300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4" name="Button 2">
              <controlPr defaultSize="0" print="0" autoFill="0" autoPict="0" macro="[0]!新規シート">
                <anchor moveWithCells="1">
                  <from>
                    <xdr:col>5</xdr:col>
                    <xdr:colOff>0</xdr:colOff>
                    <xdr:row>0</xdr:row>
                    <xdr:rowOff>200025</xdr:rowOff>
                  </from>
                  <to>
                    <xdr:col>6</xdr:col>
                    <xdr:colOff>876300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5" name="Button 3">
              <controlPr defaultSize="0" print="0" autoFill="0" autoPict="0" macro="[0]!メインへ">
                <anchor moveWithCells="1">
                  <from>
                    <xdr:col>8</xdr:col>
                    <xdr:colOff>0</xdr:colOff>
                    <xdr:row>0</xdr:row>
                    <xdr:rowOff>200025</xdr:rowOff>
                  </from>
                  <to>
                    <xdr:col>10</xdr:col>
                    <xdr:colOff>47625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4</vt:i4>
      </vt:variant>
    </vt:vector>
  </HeadingPairs>
  <TitlesOfParts>
    <vt:vector size="4" baseType="lpstr">
      <vt:lpstr>メイン</vt:lpstr>
      <vt:lpstr>商品リスト</vt:lpstr>
      <vt:lpstr>得意先リスト</vt:lpstr>
      <vt:lpstr>9月度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dcterms:created xsi:type="dcterms:W3CDTF">2016-03-29T07:01:40Z</dcterms:created>
  <dcterms:modified xsi:type="dcterms:W3CDTF">2016-07-04T07:58:30Z</dcterms:modified>
</cp:coreProperties>
</file>