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金種計算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J5" i="1"/>
  <c r="J7" i="1"/>
  <c r="K4" i="1"/>
  <c r="K6" i="1"/>
  <c r="K8" i="1"/>
  <c r="L5" i="1"/>
  <c r="L7" i="1"/>
  <c r="M4" i="1"/>
  <c r="M6" i="1"/>
  <c r="M8" i="1"/>
  <c r="E8" i="1"/>
  <c r="F7" i="1"/>
  <c r="G8" i="1"/>
  <c r="I4" i="1"/>
  <c r="E7" i="1"/>
  <c r="F4" i="1"/>
  <c r="F6" i="1"/>
  <c r="F8" i="1"/>
  <c r="G5" i="1"/>
  <c r="G7" i="1"/>
  <c r="H4" i="1"/>
  <c r="H6" i="1"/>
  <c r="H8" i="1"/>
  <c r="I5" i="1"/>
  <c r="I7" i="1"/>
  <c r="E5" i="1"/>
  <c r="E4" i="1"/>
  <c r="G6" i="1"/>
  <c r="H7" i="1"/>
  <c r="I8" i="1"/>
  <c r="J4" i="1"/>
  <c r="J6" i="1"/>
  <c r="J8" i="1"/>
  <c r="K5" i="1"/>
  <c r="K7" i="1"/>
  <c r="L4" i="1"/>
  <c r="L6" i="1"/>
  <c r="L8" i="1"/>
  <c r="M5" i="1"/>
  <c r="M7" i="1"/>
  <c r="E6" i="1"/>
  <c r="F5" i="1"/>
  <c r="G4" i="1"/>
  <c r="H5" i="1"/>
  <c r="I6" i="1"/>
  <c r="M10" i="1" l="1"/>
  <c r="M9" i="1"/>
  <c r="I10" i="1"/>
  <c r="I9" i="1"/>
  <c r="L10" i="1"/>
  <c r="L9" i="1"/>
  <c r="H10" i="1"/>
  <c r="H9" i="1"/>
  <c r="K9" i="1"/>
  <c r="K10" i="1"/>
  <c r="G10" i="1"/>
  <c r="G9" i="1"/>
  <c r="J10" i="1"/>
  <c r="J9" i="1"/>
  <c r="F9" i="1"/>
  <c r="F10" i="1"/>
  <c r="E10" i="1"/>
  <c r="E9" i="1"/>
  <c r="D10" i="1" l="1"/>
</calcChain>
</file>

<file path=xl/sharedStrings.xml><?xml version="1.0" encoding="utf-8"?>
<sst xmlns="http://schemas.openxmlformats.org/spreadsheetml/2006/main" count="9" uniqueCount="9">
  <si>
    <t>No.</t>
    <phoneticPr fontId="2"/>
  </si>
  <si>
    <t>金種計算</t>
    <rPh sb="0" eb="1">
      <t>キン</t>
    </rPh>
    <rPh sb="1" eb="2">
      <t>シュ</t>
    </rPh>
    <rPh sb="2" eb="4">
      <t>ケイサン</t>
    </rPh>
    <phoneticPr fontId="2"/>
  </si>
  <si>
    <t>氏名</t>
    <rPh sb="0" eb="2">
      <t>シメイ</t>
    </rPh>
    <phoneticPr fontId="2"/>
  </si>
  <si>
    <t>金額</t>
    <rPh sb="0" eb="2">
      <t>キンガク</t>
    </rPh>
    <phoneticPr fontId="2"/>
  </si>
  <si>
    <t>真田博美</t>
    <rPh sb="0" eb="2">
      <t>サナダ</t>
    </rPh>
    <rPh sb="2" eb="4">
      <t>ヒロミ</t>
    </rPh>
    <phoneticPr fontId="2"/>
  </si>
  <si>
    <t>藤木美和</t>
    <rPh sb="0" eb="2">
      <t>フジキ</t>
    </rPh>
    <rPh sb="2" eb="4">
      <t>ミワ</t>
    </rPh>
    <phoneticPr fontId="2"/>
  </si>
  <si>
    <t>山崎良子</t>
    <rPh sb="0" eb="2">
      <t>ヤマサキ</t>
    </rPh>
    <rPh sb="2" eb="4">
      <t>ヨシコ</t>
    </rPh>
    <phoneticPr fontId="2"/>
  </si>
  <si>
    <t>梅山和美</t>
    <rPh sb="0" eb="2">
      <t>ウメヤマ</t>
    </rPh>
    <rPh sb="2" eb="4">
      <t>カズミ</t>
    </rPh>
    <phoneticPr fontId="2"/>
  </si>
  <si>
    <t>青木真由美</t>
    <rPh sb="0" eb="2">
      <t>アオキ</t>
    </rPh>
    <rPh sb="2" eb="5">
      <t>マユミ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</si>
</sst>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38" fontId="0" fillId="2" borderId="1" xfId="1" applyFont="1" applyFill="1" applyBorder="1">
      <alignment vertical="center"/>
    </xf>
    <xf numFmtId="0" fontId="4" fillId="0" borderId="0" xfId="0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0"/>
  <sheetViews>
    <sheetView tabSelected="1" workbookViewId="0"/>
  </sheetViews>
  <sheetFormatPr defaultRowHeight="18.75" x14ac:dyDescent="0.4"/>
  <cols>
    <col min="1" max="1" width="1.625" customWidth="1"/>
    <col min="2" max="2" width="4.375" bestFit="1" customWidth="1"/>
    <col min="3" max="3" width="11" bestFit="1" customWidth="1"/>
    <col min="4" max="5" width="12.625" customWidth="1"/>
    <col min="6" max="13" width="9.625" customWidth="1"/>
  </cols>
  <sheetData>
    <row r="1" spans="2:13" ht="25.5" x14ac:dyDescent="0.4">
      <c r="B1" s="5" t="s">
        <v>1</v>
      </c>
    </row>
    <row r="3" spans="2:13" x14ac:dyDescent="0.4">
      <c r="B3" s="3" t="s">
        <v>0</v>
      </c>
      <c r="C3" s="3" t="s">
        <v>2</v>
      </c>
      <c r="D3" s="3" t="s">
        <v>3</v>
      </c>
      <c r="E3" s="3">
        <v>10000</v>
      </c>
      <c r="F3" s="3">
        <v>5000</v>
      </c>
      <c r="G3" s="3">
        <v>1000</v>
      </c>
      <c r="H3" s="3">
        <v>500</v>
      </c>
      <c r="I3" s="3">
        <v>100</v>
      </c>
      <c r="J3" s="3">
        <v>50</v>
      </c>
      <c r="K3" s="3">
        <v>10</v>
      </c>
      <c r="L3" s="3">
        <v>5</v>
      </c>
      <c r="M3" s="3">
        <v>1</v>
      </c>
    </row>
    <row r="4" spans="2:13" x14ac:dyDescent="0.4">
      <c r="B4" s="1">
        <v>1</v>
      </c>
      <c r="C4" s="1" t="s">
        <v>4</v>
      </c>
      <c r="D4" s="2">
        <v>546862</v>
      </c>
      <c r="E4" s="2">
        <f>金種計算($D4,E$3)</f>
        <v>54</v>
      </c>
      <c r="F4" s="2">
        <f t="shared" ref="F4:M4" si="0">金種計算($D4,F$3)</f>
        <v>1</v>
      </c>
      <c r="G4" s="2">
        <f t="shared" si="0"/>
        <v>1</v>
      </c>
      <c r="H4" s="2">
        <f t="shared" si="0"/>
        <v>1</v>
      </c>
      <c r="I4" s="2">
        <f t="shared" si="0"/>
        <v>3</v>
      </c>
      <c r="J4" s="2">
        <f t="shared" si="0"/>
        <v>1</v>
      </c>
      <c r="K4" s="2">
        <f t="shared" si="0"/>
        <v>1</v>
      </c>
      <c r="L4" s="2">
        <f t="shared" si="0"/>
        <v>0</v>
      </c>
      <c r="M4" s="2">
        <f t="shared" si="0"/>
        <v>2</v>
      </c>
    </row>
    <row r="5" spans="2:13" x14ac:dyDescent="0.4">
      <c r="B5" s="1">
        <v>2</v>
      </c>
      <c r="C5" s="1" t="s">
        <v>5</v>
      </c>
      <c r="D5" s="2">
        <v>943254</v>
      </c>
      <c r="E5" s="2">
        <f t="shared" ref="E5:M8" si="1">金種計算($D5,E$3)</f>
        <v>94</v>
      </c>
      <c r="F5" s="2">
        <f t="shared" si="1"/>
        <v>0</v>
      </c>
      <c r="G5" s="2">
        <f t="shared" si="1"/>
        <v>3</v>
      </c>
      <c r="H5" s="2">
        <f t="shared" si="1"/>
        <v>0</v>
      </c>
      <c r="I5" s="2">
        <f t="shared" si="1"/>
        <v>2</v>
      </c>
      <c r="J5" s="2">
        <f t="shared" si="1"/>
        <v>1</v>
      </c>
      <c r="K5" s="2">
        <f t="shared" si="1"/>
        <v>0</v>
      </c>
      <c r="L5" s="2">
        <f t="shared" si="1"/>
        <v>0</v>
      </c>
      <c r="M5" s="2">
        <f t="shared" si="1"/>
        <v>4</v>
      </c>
    </row>
    <row r="6" spans="2:13" x14ac:dyDescent="0.4">
      <c r="B6" s="1">
        <v>3</v>
      </c>
      <c r="C6" s="1" t="s">
        <v>6</v>
      </c>
      <c r="D6" s="2">
        <v>598434</v>
      </c>
      <c r="E6" s="2">
        <f t="shared" si="1"/>
        <v>59</v>
      </c>
      <c r="F6" s="2">
        <f t="shared" si="1"/>
        <v>1</v>
      </c>
      <c r="G6" s="2">
        <f t="shared" si="1"/>
        <v>3</v>
      </c>
      <c r="H6" s="2">
        <f t="shared" si="1"/>
        <v>0</v>
      </c>
      <c r="I6" s="2">
        <f t="shared" si="1"/>
        <v>4</v>
      </c>
      <c r="J6" s="2">
        <f t="shared" si="1"/>
        <v>0</v>
      </c>
      <c r="K6" s="2">
        <f t="shared" si="1"/>
        <v>3</v>
      </c>
      <c r="L6" s="2">
        <f t="shared" si="1"/>
        <v>0</v>
      </c>
      <c r="M6" s="2">
        <f t="shared" si="1"/>
        <v>4</v>
      </c>
    </row>
    <row r="7" spans="2:13" x14ac:dyDescent="0.4">
      <c r="B7" s="1">
        <v>4</v>
      </c>
      <c r="C7" s="1" t="s">
        <v>7</v>
      </c>
      <c r="D7" s="2">
        <v>871316</v>
      </c>
      <c r="E7" s="2">
        <f t="shared" si="1"/>
        <v>87</v>
      </c>
      <c r="F7" s="2">
        <f t="shared" si="1"/>
        <v>0</v>
      </c>
      <c r="G7" s="2">
        <f t="shared" si="1"/>
        <v>1</v>
      </c>
      <c r="H7" s="2">
        <f t="shared" si="1"/>
        <v>0</v>
      </c>
      <c r="I7" s="2">
        <f t="shared" si="1"/>
        <v>3</v>
      </c>
      <c r="J7" s="2">
        <f t="shared" si="1"/>
        <v>0</v>
      </c>
      <c r="K7" s="2">
        <f t="shared" si="1"/>
        <v>1</v>
      </c>
      <c r="L7" s="2">
        <f t="shared" si="1"/>
        <v>1</v>
      </c>
      <c r="M7" s="2">
        <f t="shared" si="1"/>
        <v>1</v>
      </c>
    </row>
    <row r="8" spans="2:13" x14ac:dyDescent="0.4">
      <c r="B8" s="1">
        <v>5</v>
      </c>
      <c r="C8" s="1" t="s">
        <v>8</v>
      </c>
      <c r="D8" s="2">
        <v>834584</v>
      </c>
      <c r="E8" s="2">
        <f t="shared" si="1"/>
        <v>83</v>
      </c>
      <c r="F8" s="2">
        <f t="shared" si="1"/>
        <v>0</v>
      </c>
      <c r="G8" s="2">
        <f t="shared" si="1"/>
        <v>4</v>
      </c>
      <c r="H8" s="2">
        <f t="shared" si="1"/>
        <v>1</v>
      </c>
      <c r="I8" s="2">
        <f t="shared" si="1"/>
        <v>0</v>
      </c>
      <c r="J8" s="2">
        <f t="shared" si="1"/>
        <v>1</v>
      </c>
      <c r="K8" s="2">
        <f t="shared" si="1"/>
        <v>3</v>
      </c>
      <c r="L8" s="2">
        <f t="shared" si="1"/>
        <v>0</v>
      </c>
      <c r="M8" s="2">
        <f t="shared" si="1"/>
        <v>4</v>
      </c>
    </row>
    <row r="9" spans="2:13" x14ac:dyDescent="0.4">
      <c r="D9" s="4">
        <f t="shared" ref="D9:M9" si="2">SUM(D4:D8)</f>
        <v>3794450</v>
      </c>
      <c r="E9" s="4">
        <f t="shared" si="2"/>
        <v>377</v>
      </c>
      <c r="F9" s="4">
        <f t="shared" si="2"/>
        <v>2</v>
      </c>
      <c r="G9" s="4">
        <f t="shared" si="2"/>
        <v>12</v>
      </c>
      <c r="H9" s="4">
        <f t="shared" si="2"/>
        <v>2</v>
      </c>
      <c r="I9" s="4">
        <f t="shared" si="2"/>
        <v>12</v>
      </c>
      <c r="J9" s="4">
        <f t="shared" si="2"/>
        <v>3</v>
      </c>
      <c r="K9" s="4">
        <f t="shared" si="2"/>
        <v>8</v>
      </c>
      <c r="L9" s="4">
        <f t="shared" si="2"/>
        <v>1</v>
      </c>
      <c r="M9" s="4">
        <f t="shared" si="2"/>
        <v>15</v>
      </c>
    </row>
    <row r="10" spans="2:13" x14ac:dyDescent="0.4">
      <c r="D10" s="4">
        <f>SUM(E10:M10)</f>
        <v>3794450</v>
      </c>
      <c r="E10" s="4">
        <f>SUM(E4:E8)*10000</f>
        <v>3770000</v>
      </c>
      <c r="F10" s="4">
        <f>SUM(F4:F8)*5000</f>
        <v>10000</v>
      </c>
      <c r="G10" s="4">
        <f>SUM(G4:G8)*1000</f>
        <v>12000</v>
      </c>
      <c r="H10" s="4">
        <f>SUM(H4:H8)*500</f>
        <v>1000</v>
      </c>
      <c r="I10" s="4">
        <f>SUM(I4:I8)*100</f>
        <v>1200</v>
      </c>
      <c r="J10" s="4">
        <f>SUM(J4:J8)*50</f>
        <v>150</v>
      </c>
      <c r="K10" s="4">
        <f>SUM(K4:K8)*10</f>
        <v>80</v>
      </c>
      <c r="L10" s="4">
        <f>SUM(L4:L8)*5</f>
        <v>5</v>
      </c>
      <c r="M10" s="4">
        <f>SUM(M4:M8)*1</f>
        <v>15</v>
      </c>
    </row>
  </sheetData>
  <phoneticPr fontId="2"/>
  <pageMargins left="0.7" right="0.7" top="0.75" bottom="0.75" header="0.3" footer="0.3"/>
  <pageSetup paperSize="9" orientation="portrait" r:id="rId1"/>
  <ignoredErrors>
    <ignoredError sqref="E9:M10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金種計算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2016-03-31T06:50:38Z</dcterms:created>
  <dcterms:modified xsi:type="dcterms:W3CDTF">2016-07-04T08:01:13Z</dcterms:modified>
</cp:coreProperties>
</file>