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yoon/Git/SaleData-VBA/Excel2016マクロVBA/"/>
    </mc:Choice>
  </mc:AlternateContent>
  <xr:revisionPtr revIDLastSave="0" documentId="13_ncr:1_{6F6023A2-5D5C-3B45-8ADF-D6CB7C1A2FBF}" xr6:coauthVersionLast="46" xr6:coauthVersionMax="46" xr10:uidLastSave="{00000000-0000-0000-0000-000000000000}"/>
  <bookViews>
    <workbookView xWindow="0" yWindow="500" windowWidth="28800" windowHeight="16400" activeTab="1" xr2:uid="{00000000-000D-0000-FFFF-FFFF00000000}"/>
  </bookViews>
  <sheets>
    <sheet name="メニュー" sheetId="1" r:id="rId1"/>
    <sheet name="上期" sheetId="2" r:id="rId2"/>
    <sheet name="商品一覧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</calcChain>
</file>

<file path=xl/sharedStrings.xml><?xml version="1.0" encoding="utf-8"?>
<sst xmlns="http://schemas.openxmlformats.org/spreadsheetml/2006/main" count="35" uniqueCount="26">
  <si>
    <t>商品別売上表（上期）</t>
    <rPh sb="0" eb="2">
      <t>ショウヒン</t>
    </rPh>
    <rPh sb="2" eb="3">
      <t>ベツ</t>
    </rPh>
    <rPh sb="3" eb="5">
      <t>ウリアゲ</t>
    </rPh>
    <rPh sb="5" eb="6">
      <t>ヒョウ</t>
    </rPh>
    <rPh sb="7" eb="9">
      <t>カミキ</t>
    </rPh>
    <phoneticPr fontId="2"/>
  </si>
  <si>
    <t>単位：千円</t>
    <rPh sb="0" eb="2">
      <t>タンイ</t>
    </rPh>
    <rPh sb="3" eb="5">
      <t>センエン</t>
    </rPh>
    <phoneticPr fontId="2"/>
  </si>
  <si>
    <t>商品名</t>
    <rPh sb="0" eb="3">
      <t>ショウヒンメイ</t>
    </rPh>
    <phoneticPr fontId="2"/>
  </si>
  <si>
    <t>東京支店</t>
    <rPh sb="0" eb="2">
      <t>トウキョウ</t>
    </rPh>
    <rPh sb="2" eb="4">
      <t>シテン</t>
    </rPh>
    <phoneticPr fontId="2"/>
  </si>
  <si>
    <t>横浜支店</t>
    <rPh sb="0" eb="2">
      <t>ヨコハマ</t>
    </rPh>
    <rPh sb="2" eb="4">
      <t>シテン</t>
    </rPh>
    <phoneticPr fontId="2"/>
  </si>
  <si>
    <t>千葉支店</t>
    <rPh sb="0" eb="2">
      <t>チバ</t>
    </rPh>
    <rPh sb="2" eb="4">
      <t>シテン</t>
    </rPh>
    <phoneticPr fontId="2"/>
  </si>
  <si>
    <t>合計</t>
    <rPh sb="0" eb="2">
      <t>ゴウケイ</t>
    </rPh>
    <phoneticPr fontId="2"/>
  </si>
  <si>
    <t>モカコーヒー</t>
    <phoneticPr fontId="2"/>
  </si>
  <si>
    <t>ブレンドコーヒー</t>
    <phoneticPr fontId="2"/>
  </si>
  <si>
    <t>炭焼きコーヒー</t>
    <rPh sb="0" eb="2">
      <t>スミヤ</t>
    </rPh>
    <phoneticPr fontId="2"/>
  </si>
  <si>
    <t>ブルーマウンテン</t>
    <phoneticPr fontId="2"/>
  </si>
  <si>
    <t>キリマンジャロ</t>
    <phoneticPr fontId="2"/>
  </si>
  <si>
    <t>アッサムティー</t>
    <phoneticPr fontId="2"/>
  </si>
  <si>
    <t>ダージリンティー</t>
    <phoneticPr fontId="2"/>
  </si>
  <si>
    <t>アップルティー</t>
    <phoneticPr fontId="2"/>
  </si>
  <si>
    <t>オレンジペコ</t>
    <phoneticPr fontId="2"/>
  </si>
  <si>
    <t>アールグレイ</t>
    <phoneticPr fontId="2"/>
  </si>
  <si>
    <t>カモミール</t>
    <phoneticPr fontId="2"/>
  </si>
  <si>
    <t>ジャスミンティー</t>
    <phoneticPr fontId="2"/>
  </si>
  <si>
    <t>商品一覧</t>
    <rPh sb="0" eb="2">
      <t>ショウヒン</t>
    </rPh>
    <rPh sb="2" eb="4">
      <t>イチラン</t>
    </rPh>
    <phoneticPr fontId="2"/>
  </si>
  <si>
    <t>商品No.</t>
    <rPh sb="0" eb="2">
      <t>ショウヒン</t>
    </rPh>
    <phoneticPr fontId="2"/>
  </si>
  <si>
    <t>単価</t>
    <rPh sb="0" eb="2">
      <t>タンカ</t>
    </rPh>
    <phoneticPr fontId="2"/>
  </si>
  <si>
    <t>ブレンドコーヒー</t>
    <phoneticPr fontId="2"/>
  </si>
  <si>
    <t>ブルーマウンテン</t>
    <phoneticPr fontId="2"/>
  </si>
  <si>
    <t>キリマンジャロ</t>
    <phoneticPr fontId="2"/>
  </si>
  <si>
    <t>アッサムティー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</si>
</sst>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¥&quot;#,##0;[Red]&quot;¥&quot;\-#,##0"/>
  </numFmts>
  <fonts count="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6" fontId="0" fillId="0" borderId="1" xfId="1" applyNumberFormat="1" applyFont="1" applyBorder="1">
      <alignment vertical="center"/>
    </xf>
    <xf numFmtId="0" fontId="0" fillId="0" borderId="0" xfId="0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38" fontId="0" fillId="0" borderId="3" xfId="1" applyFont="1" applyBorder="1">
      <alignment vertical="center"/>
    </xf>
    <xf numFmtId="6" fontId="0" fillId="0" borderId="4" xfId="1" applyNumberFormat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2</xdr:row>
      <xdr:rowOff>171450</xdr:rowOff>
    </xdr:from>
    <xdr:to>
      <xdr:col>7</xdr:col>
      <xdr:colOff>542925</xdr:colOff>
      <xdr:row>8</xdr:row>
      <xdr:rowOff>66675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4350" y="647700"/>
          <a:ext cx="4829175" cy="1323975"/>
        </a:xfrm>
        <a:prstGeom prst="ellipse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4800" b="1"/>
            <a:t>売上管理表</a:t>
          </a:r>
        </a:p>
      </xdr:txBody>
    </xdr:sp>
    <xdr:clientData/>
  </xdr:twoCellAnchor>
  <xdr:oneCellAnchor>
    <xdr:from>
      <xdr:col>5</xdr:col>
      <xdr:colOff>615762</xdr:colOff>
      <xdr:row>14</xdr:row>
      <xdr:rowOff>55546</xdr:rowOff>
    </xdr:from>
    <xdr:ext cx="2816605" cy="655885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44762" y="3389296"/>
          <a:ext cx="281660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277317</xdr:colOff>
      <xdr:row>0</xdr:row>
      <xdr:rowOff>0</xdr:rowOff>
    </xdr:from>
    <xdr:ext cx="1646733" cy="405432"/>
    <xdr:sp macro="" textlink="">
      <xdr:nvSpPr>
        <xdr:cNvPr id="3" name="ロゴ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39642" y="0"/>
          <a:ext cx="1646733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2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20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baseColWidth="10" defaultColWidth="8.83203125" defaultRowHeight="18"/>
  <sheetData/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F17"/>
  <sheetViews>
    <sheetView tabSelected="1" workbookViewId="0">
      <selection activeCell="K21" sqref="K21"/>
    </sheetView>
  </sheetViews>
  <sheetFormatPr baseColWidth="10" defaultColWidth="8.83203125" defaultRowHeight="18"/>
  <cols>
    <col min="1" max="1" width="1.6640625" customWidth="1"/>
    <col min="2" max="2" width="17.6640625" customWidth="1"/>
    <col min="3" max="6" width="12.6640625" customWidth="1"/>
  </cols>
  <sheetData>
    <row r="2" spans="2:6" ht="24">
      <c r="B2" s="5" t="s">
        <v>0</v>
      </c>
      <c r="C2" s="4"/>
      <c r="D2" s="4"/>
      <c r="E2" s="4"/>
      <c r="F2" s="4"/>
    </row>
    <row r="3" spans="2:6">
      <c r="F3" t="s">
        <v>1</v>
      </c>
    </row>
    <row r="5" spans="2:6">
      <c r="B5" s="6" t="s">
        <v>2</v>
      </c>
      <c r="C5" s="6" t="s">
        <v>3</v>
      </c>
      <c r="D5" s="6" t="s">
        <v>4</v>
      </c>
      <c r="E5" s="6" t="s">
        <v>5</v>
      </c>
      <c r="F5" s="6" t="s">
        <v>6</v>
      </c>
    </row>
    <row r="6" spans="2:6">
      <c r="B6" s="1" t="s">
        <v>7</v>
      </c>
      <c r="C6" s="2">
        <v>87500</v>
      </c>
      <c r="D6" s="2">
        <v>69900</v>
      </c>
      <c r="E6" s="2">
        <v>56600</v>
      </c>
      <c r="F6" s="3">
        <f>SUM(C6:E6)</f>
        <v>214000</v>
      </c>
    </row>
    <row r="7" spans="2:6">
      <c r="B7" s="1" t="s">
        <v>8</v>
      </c>
      <c r="C7" s="2">
        <v>71500</v>
      </c>
      <c r="D7" s="2">
        <v>69700</v>
      </c>
      <c r="E7" s="2">
        <v>62900</v>
      </c>
      <c r="F7" s="3">
        <f t="shared" ref="F7:F17" si="0">SUM(C7:E7)</f>
        <v>204100</v>
      </c>
    </row>
    <row r="8" spans="2:6">
      <c r="B8" s="1" t="s">
        <v>9</v>
      </c>
      <c r="C8" s="2">
        <v>89400</v>
      </c>
      <c r="D8" s="2">
        <v>62600</v>
      </c>
      <c r="E8" s="2">
        <v>59800</v>
      </c>
      <c r="F8" s="3">
        <f t="shared" si="0"/>
        <v>211800</v>
      </c>
    </row>
    <row r="9" spans="2:6">
      <c r="B9" s="1" t="s">
        <v>10</v>
      </c>
      <c r="C9" s="2">
        <v>63600</v>
      </c>
      <c r="D9" s="2">
        <v>62500</v>
      </c>
      <c r="E9" s="2">
        <v>61800</v>
      </c>
      <c r="F9" s="3">
        <f t="shared" si="0"/>
        <v>187900</v>
      </c>
    </row>
    <row r="10" spans="2:6">
      <c r="B10" s="1" t="s">
        <v>11</v>
      </c>
      <c r="C10" s="2">
        <v>69000</v>
      </c>
      <c r="D10" s="2">
        <v>54220</v>
      </c>
      <c r="E10" s="2">
        <v>72000</v>
      </c>
      <c r="F10" s="3">
        <f t="shared" si="0"/>
        <v>195220</v>
      </c>
    </row>
    <row r="11" spans="2:6">
      <c r="B11" s="1" t="s">
        <v>12</v>
      </c>
      <c r="C11" s="2">
        <v>75300</v>
      </c>
      <c r="D11" s="2">
        <v>61200</v>
      </c>
      <c r="E11" s="2">
        <v>72100</v>
      </c>
      <c r="F11" s="3">
        <f t="shared" si="0"/>
        <v>208600</v>
      </c>
    </row>
    <row r="12" spans="2:6">
      <c r="B12" s="1" t="s">
        <v>13</v>
      </c>
      <c r="C12" s="2">
        <v>79600</v>
      </c>
      <c r="D12" s="2">
        <v>70500</v>
      </c>
      <c r="E12" s="2">
        <v>57800</v>
      </c>
      <c r="F12" s="3">
        <f t="shared" si="0"/>
        <v>207900</v>
      </c>
    </row>
    <row r="13" spans="2:6">
      <c r="B13" s="1" t="s">
        <v>14</v>
      </c>
      <c r="C13" s="2">
        <v>73400</v>
      </c>
      <c r="D13" s="2">
        <v>66800</v>
      </c>
      <c r="E13" s="2">
        <v>58800</v>
      </c>
      <c r="F13" s="3">
        <f t="shared" si="0"/>
        <v>199000</v>
      </c>
    </row>
    <row r="14" spans="2:6">
      <c r="B14" s="7" t="s">
        <v>15</v>
      </c>
      <c r="C14" s="8">
        <v>76400</v>
      </c>
      <c r="D14" s="8">
        <v>91200</v>
      </c>
      <c r="E14" s="8">
        <v>69800</v>
      </c>
      <c r="F14" s="9">
        <f t="shared" si="0"/>
        <v>237400</v>
      </c>
    </row>
    <row r="15" spans="2:6">
      <c r="B15" s="1" t="s">
        <v>16</v>
      </c>
      <c r="C15" s="2">
        <v>72100</v>
      </c>
      <c r="D15" s="2">
        <v>58600</v>
      </c>
      <c r="E15" s="2">
        <v>86100</v>
      </c>
      <c r="F15" s="3">
        <f t="shared" si="0"/>
        <v>216800</v>
      </c>
    </row>
    <row r="16" spans="2:6">
      <c r="B16" s="1" t="s">
        <v>17</v>
      </c>
      <c r="C16" s="2">
        <v>76900</v>
      </c>
      <c r="D16" s="2">
        <v>61400</v>
      </c>
      <c r="E16" s="2">
        <v>64400</v>
      </c>
      <c r="F16" s="3">
        <f t="shared" si="0"/>
        <v>202700</v>
      </c>
    </row>
    <row r="17" spans="2:6">
      <c r="B17" s="1" t="s">
        <v>18</v>
      </c>
      <c r="C17" s="2">
        <v>79800</v>
      </c>
      <c r="D17" s="2">
        <v>12800</v>
      </c>
      <c r="E17" s="2">
        <v>67200</v>
      </c>
      <c r="F17" s="3">
        <f t="shared" si="0"/>
        <v>159800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16"/>
  <sheetViews>
    <sheetView workbookViewId="0"/>
  </sheetViews>
  <sheetFormatPr baseColWidth="10" defaultColWidth="8.83203125" defaultRowHeight="18"/>
  <cols>
    <col min="1" max="1" width="1.6640625" customWidth="1"/>
    <col min="2" max="2" width="12.6640625" customWidth="1"/>
    <col min="3" max="3" width="17.6640625" customWidth="1"/>
    <col min="4" max="4" width="12.6640625" customWidth="1"/>
  </cols>
  <sheetData>
    <row r="2" spans="2:4" ht="24">
      <c r="B2" s="5" t="s">
        <v>19</v>
      </c>
      <c r="C2" s="4"/>
      <c r="D2" s="4"/>
    </row>
    <row r="4" spans="2:4">
      <c r="B4" s="6" t="s">
        <v>20</v>
      </c>
      <c r="C4" s="6" t="s">
        <v>2</v>
      </c>
      <c r="D4" s="6" t="s">
        <v>21</v>
      </c>
    </row>
    <row r="5" spans="2:4">
      <c r="B5" s="1">
        <v>1001</v>
      </c>
      <c r="C5" s="2" t="s">
        <v>7</v>
      </c>
      <c r="D5" s="3">
        <v>1500</v>
      </c>
    </row>
    <row r="6" spans="2:4">
      <c r="B6" s="1">
        <v>1002</v>
      </c>
      <c r="C6" s="2" t="s">
        <v>22</v>
      </c>
      <c r="D6" s="3">
        <v>1800</v>
      </c>
    </row>
    <row r="7" spans="2:4">
      <c r="B7" s="1">
        <v>1003</v>
      </c>
      <c r="C7" s="2" t="s">
        <v>9</v>
      </c>
      <c r="D7" s="3">
        <v>2100</v>
      </c>
    </row>
    <row r="8" spans="2:4">
      <c r="B8" s="1">
        <v>1004</v>
      </c>
      <c r="C8" s="2" t="s">
        <v>23</v>
      </c>
      <c r="D8" s="3">
        <v>1800</v>
      </c>
    </row>
    <row r="9" spans="2:4">
      <c r="B9" s="1">
        <v>1005</v>
      </c>
      <c r="C9" s="2" t="s">
        <v>24</v>
      </c>
      <c r="D9" s="3">
        <v>1600</v>
      </c>
    </row>
    <row r="10" spans="2:4">
      <c r="B10" s="1">
        <v>2001</v>
      </c>
      <c r="C10" s="2" t="s">
        <v>25</v>
      </c>
      <c r="D10" s="3">
        <v>1200</v>
      </c>
    </row>
    <row r="11" spans="2:4">
      <c r="B11" s="1">
        <v>2002</v>
      </c>
      <c r="C11" s="2" t="s">
        <v>13</v>
      </c>
      <c r="D11" s="3">
        <v>900</v>
      </c>
    </row>
    <row r="12" spans="2:4">
      <c r="B12" s="1">
        <v>2003</v>
      </c>
      <c r="C12" s="2" t="s">
        <v>14</v>
      </c>
      <c r="D12" s="3">
        <v>1000</v>
      </c>
    </row>
    <row r="13" spans="2:4">
      <c r="B13" s="1">
        <v>2004</v>
      </c>
      <c r="C13" s="2" t="s">
        <v>15</v>
      </c>
      <c r="D13" s="3">
        <v>850</v>
      </c>
    </row>
    <row r="14" spans="2:4">
      <c r="B14" s="1">
        <v>2005</v>
      </c>
      <c r="C14" s="2" t="s">
        <v>16</v>
      </c>
      <c r="D14" s="3">
        <v>950</v>
      </c>
    </row>
    <row r="15" spans="2:4">
      <c r="B15" s="1">
        <v>2006</v>
      </c>
      <c r="C15" s="2" t="s">
        <v>17</v>
      </c>
      <c r="D15" s="3">
        <v>700</v>
      </c>
    </row>
    <row r="16" spans="2:4">
      <c r="B16" s="1">
        <v>3001</v>
      </c>
      <c r="C16" s="2" t="s">
        <v>18</v>
      </c>
      <c r="D16" s="3">
        <v>600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メニュー</vt:lpstr>
      <vt:lpstr>上期</vt:lpstr>
      <vt:lpstr>商品一覧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cgub1067</cp:lastModifiedBy>
  <cp:lastPrinted>2021-03-12T13:19:02Z</cp:lastPrinted>
  <dcterms:created xsi:type="dcterms:W3CDTF">2016-03-29T04:49:17Z</dcterms:created>
  <dcterms:modified xsi:type="dcterms:W3CDTF">2021-03-12T13:35:50Z</dcterms:modified>
</cp:coreProperties>
</file>